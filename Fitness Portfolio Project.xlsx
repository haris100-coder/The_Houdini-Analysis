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93DFB8C0-F1CE-49CA-B86A-AD4F05A128F8}" xr6:coauthVersionLast="47" xr6:coauthVersionMax="47" xr10:uidLastSave="{00000000-0000-0000-0000-000000000000}"/>
  <bookViews>
    <workbookView xWindow="-120" yWindow="-120" windowWidth="20730" windowHeight="11760" firstSheet="1" activeTab="3" xr2:uid="{00000000-000D-0000-FFFF-FFFF00000000}"/>
  </bookViews>
  <sheets>
    <sheet name="random_fitness_dataset" sheetId="1" r:id="rId1"/>
    <sheet name="worksheet" sheetId="2" r:id="rId2"/>
    <sheet name="pivot table" sheetId="3" r:id="rId3"/>
    <sheet name="dashboard" sheetId="4" r:id="rId4"/>
  </sheets>
  <definedNames>
    <definedName name="_xlnm._FilterDatabase" localSheetId="0" hidden="1">random_fitness_dataset!$A$1:$L$201</definedName>
    <definedName name="_xlnm._FilterDatabase" localSheetId="1" hidden="1">worksheet!$A$1:$L$201</definedName>
    <definedName name="Slicer_activity_type">#N/A</definedName>
    <definedName name="Slicer_age_group">#N/A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a="1"/>
  <c r="M3" i="2" s="1"/>
  <c r="M4" i="2" a="1"/>
  <c r="M4" i="2" s="1"/>
  <c r="M5" i="2" a="1"/>
  <c r="M5" i="2" s="1"/>
  <c r="M6" i="2" a="1"/>
  <c r="M6" i="2"/>
  <c r="M7" i="2" a="1"/>
  <c r="M7" i="2" s="1"/>
  <c r="M8" i="2" a="1"/>
  <c r="M8" i="2" s="1"/>
  <c r="M9" i="2" a="1"/>
  <c r="M9" i="2" s="1"/>
  <c r="M10" i="2" a="1"/>
  <c r="M10" i="2" s="1"/>
  <c r="M11" i="2" a="1"/>
  <c r="M11" i="2" s="1"/>
  <c r="M12" i="2" a="1"/>
  <c r="M12" i="2"/>
  <c r="M13" i="2" a="1"/>
  <c r="M13" i="2" s="1"/>
  <c r="M14" i="2" a="1"/>
  <c r="M14" i="2" s="1"/>
  <c r="M15" i="2" a="1"/>
  <c r="M15" i="2" s="1"/>
  <c r="M16" i="2" a="1"/>
  <c r="M16" i="2" s="1"/>
  <c r="M17" i="2" a="1"/>
  <c r="M17" i="2" s="1"/>
  <c r="M18" i="2" a="1"/>
  <c r="M18" i="2" s="1"/>
  <c r="M19" i="2" a="1"/>
  <c r="M19" i="2" s="1"/>
  <c r="M20" i="2" a="1"/>
  <c r="M20" i="2"/>
  <c r="M21" i="2" a="1"/>
  <c r="M21" i="2" s="1"/>
  <c r="M22" i="2" a="1"/>
  <c r="M22" i="2" s="1"/>
  <c r="M23" i="2" a="1"/>
  <c r="M23" i="2" s="1"/>
  <c r="M24" i="2" a="1"/>
  <c r="M24" i="2" s="1"/>
  <c r="M25" i="2" a="1"/>
  <c r="M25" i="2" s="1"/>
  <c r="M26" i="2" a="1"/>
  <c r="M26" i="2" s="1"/>
  <c r="M27" i="2" a="1"/>
  <c r="M27" i="2" s="1"/>
  <c r="M28" i="2" a="1"/>
  <c r="M28" i="2"/>
  <c r="M29" i="2" a="1"/>
  <c r="M29" i="2" s="1"/>
  <c r="M30" i="2" a="1"/>
  <c r="M30" i="2" s="1"/>
  <c r="M31" i="2" a="1"/>
  <c r="M31" i="2" s="1"/>
  <c r="M32" i="2" a="1"/>
  <c r="M32" i="2" s="1"/>
  <c r="M33" i="2" a="1"/>
  <c r="M33" i="2" s="1"/>
  <c r="M34" i="2" a="1"/>
  <c r="M34" i="2" s="1"/>
  <c r="M35" i="2" a="1"/>
  <c r="M35" i="2" s="1"/>
  <c r="M36" i="2" a="1"/>
  <c r="M36" i="2"/>
  <c r="M37" i="2" a="1"/>
  <c r="M37" i="2" s="1"/>
  <c r="M38" i="2" a="1"/>
  <c r="M38" i="2" s="1"/>
  <c r="M39" i="2" a="1"/>
  <c r="M39" i="2" s="1"/>
  <c r="M40" i="2" a="1"/>
  <c r="M40" i="2" s="1"/>
  <c r="M41" i="2" a="1"/>
  <c r="M41" i="2" s="1"/>
  <c r="M42" i="2" a="1"/>
  <c r="M42" i="2" s="1"/>
  <c r="M43" i="2" a="1"/>
  <c r="M43" i="2" s="1"/>
  <c r="M44" i="2" a="1"/>
  <c r="M44" i="2"/>
  <c r="M45" i="2" a="1"/>
  <c r="M45" i="2" s="1"/>
  <c r="M46" i="2" a="1"/>
  <c r="M46" i="2" s="1"/>
  <c r="M47" i="2" a="1"/>
  <c r="M47" i="2" s="1"/>
  <c r="M48" i="2" a="1"/>
  <c r="M48" i="2" s="1"/>
  <c r="M49" i="2" a="1"/>
  <c r="M49" i="2" s="1"/>
  <c r="M50" i="2" a="1"/>
  <c r="M50" i="2" s="1"/>
  <c r="M51" i="2" a="1"/>
  <c r="M51" i="2" s="1"/>
  <c r="M52" i="2" a="1"/>
  <c r="M52" i="2"/>
  <c r="M53" i="2" a="1"/>
  <c r="M53" i="2" s="1"/>
  <c r="M54" i="2" a="1"/>
  <c r="M54" i="2" s="1"/>
  <c r="M55" i="2" a="1"/>
  <c r="M55" i="2" s="1"/>
  <c r="M56" i="2" a="1"/>
  <c r="M56" i="2" s="1"/>
  <c r="M57" i="2" a="1"/>
  <c r="M57" i="2" s="1"/>
  <c r="M58" i="2" a="1"/>
  <c r="M58" i="2" s="1"/>
  <c r="M59" i="2" a="1"/>
  <c r="M59" i="2" s="1"/>
  <c r="M60" i="2" a="1"/>
  <c r="M60" i="2"/>
  <c r="M61" i="2" a="1"/>
  <c r="M61" i="2" s="1"/>
  <c r="M62" i="2" a="1"/>
  <c r="M62" i="2" s="1"/>
  <c r="M63" i="2" a="1"/>
  <c r="M63" i="2" s="1"/>
  <c r="M64" i="2" a="1"/>
  <c r="M64" i="2" s="1"/>
  <c r="M65" i="2" a="1"/>
  <c r="M65" i="2" s="1"/>
  <c r="M66" i="2" a="1"/>
  <c r="M66" i="2" s="1"/>
  <c r="M67" i="2" a="1"/>
  <c r="M67" i="2" s="1"/>
  <c r="M68" i="2" a="1"/>
  <c r="M68" i="2"/>
  <c r="M69" i="2" a="1"/>
  <c r="M69" i="2" s="1"/>
  <c r="M70" i="2" a="1"/>
  <c r="M70" i="2" s="1"/>
  <c r="M71" i="2" a="1"/>
  <c r="M71" i="2" s="1"/>
  <c r="M72" i="2" a="1"/>
  <c r="M72" i="2" s="1"/>
  <c r="M73" i="2" a="1"/>
  <c r="M73" i="2" s="1"/>
  <c r="M74" i="2" a="1"/>
  <c r="M74" i="2" s="1"/>
  <c r="M75" i="2" a="1"/>
  <c r="M75" i="2" s="1"/>
  <c r="M76" i="2" a="1"/>
  <c r="M76" i="2"/>
  <c r="M77" i="2" a="1"/>
  <c r="M77" i="2" s="1"/>
  <c r="M78" i="2" a="1"/>
  <c r="M78" i="2" s="1"/>
  <c r="M79" i="2" a="1"/>
  <c r="M79" i="2" s="1"/>
  <c r="M80" i="2" a="1"/>
  <c r="M80" i="2" s="1"/>
  <c r="M81" i="2" a="1"/>
  <c r="M81" i="2" s="1"/>
  <c r="M82" i="2" a="1"/>
  <c r="M82" i="2" s="1"/>
  <c r="M83" i="2" a="1"/>
  <c r="M83" i="2" s="1"/>
  <c r="M84" i="2" a="1"/>
  <c r="M84" i="2"/>
  <c r="M85" i="2" a="1"/>
  <c r="M85" i="2" s="1"/>
  <c r="M86" i="2" a="1"/>
  <c r="M86" i="2" s="1"/>
  <c r="M87" i="2" a="1"/>
  <c r="M87" i="2" s="1"/>
  <c r="M88" i="2" a="1"/>
  <c r="M88" i="2" s="1"/>
  <c r="M89" i="2" a="1"/>
  <c r="M89" i="2" s="1"/>
  <c r="M90" i="2" a="1"/>
  <c r="M90" i="2" s="1"/>
  <c r="M91" i="2" a="1"/>
  <c r="M91" i="2" s="1"/>
  <c r="M92" i="2" a="1"/>
  <c r="M92" i="2"/>
  <c r="M93" i="2" a="1"/>
  <c r="M93" i="2" s="1"/>
  <c r="M94" i="2" a="1"/>
  <c r="M94" i="2" s="1"/>
  <c r="M95" i="2" a="1"/>
  <c r="M95" i="2" s="1"/>
  <c r="M96" i="2" a="1"/>
  <c r="M96" i="2" s="1"/>
  <c r="M97" i="2" a="1"/>
  <c r="M97" i="2" s="1"/>
  <c r="M98" i="2" a="1"/>
  <c r="M98" i="2" s="1"/>
  <c r="M99" i="2" a="1"/>
  <c r="M99" i="2" s="1"/>
  <c r="M100" i="2" a="1"/>
  <c r="M100" i="2"/>
  <c r="M101" i="2" a="1"/>
  <c r="M101" i="2" s="1"/>
  <c r="M102" i="2" a="1"/>
  <c r="M102" i="2" s="1"/>
  <c r="M103" i="2" a="1"/>
  <c r="M103" i="2" s="1"/>
  <c r="M104" i="2" a="1"/>
  <c r="M104" i="2" s="1"/>
  <c r="M105" i="2" a="1"/>
  <c r="M105" i="2" s="1"/>
  <c r="M106" i="2" a="1"/>
  <c r="M106" i="2" s="1"/>
  <c r="M107" i="2" a="1"/>
  <c r="M107" i="2" s="1"/>
  <c r="M108" i="2" a="1"/>
  <c r="M108" i="2"/>
  <c r="M109" i="2" a="1"/>
  <c r="M109" i="2" s="1"/>
  <c r="M110" i="2" a="1"/>
  <c r="M110" i="2" s="1"/>
  <c r="M111" i="2" a="1"/>
  <c r="M111" i="2" s="1"/>
  <c r="M112" i="2" a="1"/>
  <c r="M112" i="2" s="1"/>
  <c r="M113" i="2" a="1"/>
  <c r="M113" i="2" s="1"/>
  <c r="M114" i="2" a="1"/>
  <c r="M114" i="2" s="1"/>
  <c r="M115" i="2" a="1"/>
  <c r="M115" i="2" s="1"/>
  <c r="M116" i="2" a="1"/>
  <c r="M116" i="2"/>
  <c r="M117" i="2" a="1"/>
  <c r="M117" i="2" s="1"/>
  <c r="M118" i="2" a="1"/>
  <c r="M118" i="2" s="1"/>
  <c r="M119" i="2" a="1"/>
  <c r="M119" i="2" s="1"/>
  <c r="M120" i="2" a="1"/>
  <c r="M120" i="2" s="1"/>
  <c r="M121" i="2" a="1"/>
  <c r="M121" i="2" s="1"/>
  <c r="M122" i="2" a="1"/>
  <c r="M122" i="2" s="1"/>
  <c r="M123" i="2" a="1"/>
  <c r="M123" i="2" s="1"/>
  <c r="M124" i="2" a="1"/>
  <c r="M124" i="2"/>
  <c r="M125" i="2" a="1"/>
  <c r="M125" i="2" s="1"/>
  <c r="M126" i="2" a="1"/>
  <c r="M126" i="2" s="1"/>
  <c r="M127" i="2" a="1"/>
  <c r="M127" i="2" s="1"/>
  <c r="M128" i="2" a="1"/>
  <c r="M128" i="2" s="1"/>
  <c r="M129" i="2" a="1"/>
  <c r="M129" i="2" s="1"/>
  <c r="M130" i="2" a="1"/>
  <c r="M130" i="2" s="1"/>
  <c r="M131" i="2" a="1"/>
  <c r="M131" i="2" s="1"/>
  <c r="M132" i="2" a="1"/>
  <c r="M132" i="2"/>
  <c r="M133" i="2" a="1"/>
  <c r="M133" i="2" s="1"/>
  <c r="M134" i="2" a="1"/>
  <c r="M134" i="2" s="1"/>
  <c r="M135" i="2" a="1"/>
  <c r="M135" i="2" s="1"/>
  <c r="M136" i="2" a="1"/>
  <c r="M136" i="2" s="1"/>
  <c r="M137" i="2" a="1"/>
  <c r="M137" i="2" s="1"/>
  <c r="M138" i="2" a="1"/>
  <c r="M138" i="2" s="1"/>
  <c r="M139" i="2" a="1"/>
  <c r="M139" i="2" s="1"/>
  <c r="M140" i="2" a="1"/>
  <c r="M140" i="2"/>
  <c r="M141" i="2" a="1"/>
  <c r="M141" i="2" s="1"/>
  <c r="M142" i="2" a="1"/>
  <c r="M142" i="2" s="1"/>
  <c r="M143" i="2" a="1"/>
  <c r="M143" i="2" s="1"/>
  <c r="M144" i="2" a="1"/>
  <c r="M144" i="2" s="1"/>
  <c r="M145" i="2" a="1"/>
  <c r="M145" i="2" s="1"/>
  <c r="M146" i="2" a="1"/>
  <c r="M146" i="2" s="1"/>
  <c r="M147" i="2" a="1"/>
  <c r="M147" i="2" s="1"/>
  <c r="M148" i="2" a="1"/>
  <c r="M148" i="2"/>
  <c r="M149" i="2" a="1"/>
  <c r="M149" i="2" s="1"/>
  <c r="M150" i="2" a="1"/>
  <c r="M150" i="2" s="1"/>
  <c r="M151" i="2" a="1"/>
  <c r="M151" i="2" s="1"/>
  <c r="M152" i="2" a="1"/>
  <c r="M152" i="2" s="1"/>
  <c r="M153" i="2" a="1"/>
  <c r="M153" i="2" s="1"/>
  <c r="M154" i="2" a="1"/>
  <c r="M154" i="2" s="1"/>
  <c r="M155" i="2" a="1"/>
  <c r="M155" i="2" s="1"/>
  <c r="M156" i="2" a="1"/>
  <c r="M156" i="2"/>
  <c r="M157" i="2" a="1"/>
  <c r="M157" i="2" s="1"/>
  <c r="M158" i="2" a="1"/>
  <c r="M158" i="2" s="1"/>
  <c r="M159" i="2" a="1"/>
  <c r="M159" i="2" s="1"/>
  <c r="M160" i="2" a="1"/>
  <c r="M160" i="2" s="1"/>
  <c r="M161" i="2" a="1"/>
  <c r="M161" i="2" s="1"/>
  <c r="M162" i="2" a="1"/>
  <c r="M162" i="2" s="1"/>
  <c r="M163" i="2" a="1"/>
  <c r="M163" i="2" s="1"/>
  <c r="M164" i="2" a="1"/>
  <c r="M164" i="2"/>
  <c r="M165" i="2" a="1"/>
  <c r="M165" i="2" s="1"/>
  <c r="M166" i="2" a="1"/>
  <c r="M166" i="2" s="1"/>
  <c r="M167" i="2" a="1"/>
  <c r="M167" i="2" s="1"/>
  <c r="M168" i="2" a="1"/>
  <c r="M168" i="2" s="1"/>
  <c r="M169" i="2" a="1"/>
  <c r="M169" i="2" s="1"/>
  <c r="M170" i="2" a="1"/>
  <c r="M170" i="2" s="1"/>
  <c r="M171" i="2" a="1"/>
  <c r="M171" i="2" s="1"/>
  <c r="M172" i="2" a="1"/>
  <c r="M172" i="2"/>
  <c r="M173" i="2" a="1"/>
  <c r="M173" i="2" s="1"/>
  <c r="M174" i="2" a="1"/>
  <c r="M174" i="2" s="1"/>
  <c r="M175" i="2" a="1"/>
  <c r="M175" i="2" s="1"/>
  <c r="M176" i="2" a="1"/>
  <c r="M176" i="2"/>
  <c r="M177" i="2" a="1"/>
  <c r="M177" i="2" s="1"/>
  <c r="M178" i="2" a="1"/>
  <c r="M178" i="2" s="1"/>
  <c r="M179" i="2" a="1"/>
  <c r="M179" i="2" s="1"/>
  <c r="M180" i="2" a="1"/>
  <c r="M180" i="2"/>
  <c r="M181" i="2" a="1"/>
  <c r="M181" i="2" s="1"/>
  <c r="M182" i="2" a="1"/>
  <c r="M182" i="2" s="1"/>
  <c r="M183" i="2" a="1"/>
  <c r="M183" i="2" s="1"/>
  <c r="M184" i="2" a="1"/>
  <c r="M184" i="2"/>
  <c r="M185" i="2" a="1"/>
  <c r="M185" i="2" s="1"/>
  <c r="M186" i="2" a="1"/>
  <c r="M186" i="2" s="1"/>
  <c r="M187" i="2" a="1"/>
  <c r="M187" i="2" s="1"/>
  <c r="M188" i="2" a="1"/>
  <c r="M188" i="2"/>
  <c r="M189" i="2" a="1"/>
  <c r="M189" i="2" s="1"/>
  <c r="M190" i="2" a="1"/>
  <c r="M190" i="2" s="1"/>
  <c r="M191" i="2" a="1"/>
  <c r="M191" i="2" s="1"/>
  <c r="M192" i="2" a="1"/>
  <c r="M192" i="2"/>
  <c r="M193" i="2" a="1"/>
  <c r="M193" i="2" s="1"/>
  <c r="M194" i="2" a="1"/>
  <c r="M194" i="2" s="1"/>
  <c r="M195" i="2" a="1"/>
  <c r="M195" i="2" s="1"/>
  <c r="M196" i="2" a="1"/>
  <c r="M196" i="2"/>
  <c r="M197" i="2" a="1"/>
  <c r="M197" i="2" s="1"/>
  <c r="M198" i="2" a="1"/>
  <c r="M198" i="2" s="1"/>
  <c r="M199" i="2" a="1"/>
  <c r="M199" i="2" s="1"/>
  <c r="M200" i="2" a="1"/>
  <c r="M200" i="2" s="1"/>
  <c r="M201" i="2" a="1"/>
  <c r="M201"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<sst xmlns="http://schemas.openxmlformats.org/spreadsheetml/2006/main" count="1272" uniqueCount="90">
  <si>
    <t>record_id</t>
  </si>
  <si>
    <t>timestamp</t>
  </si>
  <si>
    <t>user_id</t>
  </si>
  <si>
    <t>age</t>
  </si>
  <si>
    <t>gender</t>
  </si>
  <si>
    <t>activity_type</t>
  </si>
  <si>
    <t>duration_min</t>
  </si>
  <si>
    <t>calories_burned</t>
  </si>
  <si>
    <t>heart_rate_avg</t>
  </si>
  <si>
    <t>steps</t>
  </si>
  <si>
    <t>sleep_hours</t>
  </si>
  <si>
    <t>weight_kg</t>
  </si>
  <si>
    <t>U026</t>
  </si>
  <si>
    <t>Male</t>
  </si>
  <si>
    <t>Cycling</t>
  </si>
  <si>
    <t>U039</t>
  </si>
  <si>
    <t>Female</t>
  </si>
  <si>
    <t>Strength Training</t>
  </si>
  <si>
    <t>U046</t>
  </si>
  <si>
    <t>U048</t>
  </si>
  <si>
    <t>Swimming</t>
  </si>
  <si>
    <t>U042</t>
  </si>
  <si>
    <t>Other</t>
  </si>
  <si>
    <t>Yoga</t>
  </si>
  <si>
    <t>U005</t>
  </si>
  <si>
    <t>HIIT</t>
  </si>
  <si>
    <t>U030</t>
  </si>
  <si>
    <t>Walking</t>
  </si>
  <si>
    <t>U014</t>
  </si>
  <si>
    <t>U036</t>
  </si>
  <si>
    <t>U019</t>
  </si>
  <si>
    <t>U013</t>
  </si>
  <si>
    <t>U034</t>
  </si>
  <si>
    <t>U035</t>
  </si>
  <si>
    <t>U041</t>
  </si>
  <si>
    <t>U032</t>
  </si>
  <si>
    <t>U031</t>
  </si>
  <si>
    <t>U015</t>
  </si>
  <si>
    <t>U018</t>
  </si>
  <si>
    <t>U050</t>
  </si>
  <si>
    <t>U043</t>
  </si>
  <si>
    <t>Running</t>
  </si>
  <si>
    <t>U044</t>
  </si>
  <si>
    <t>U020</t>
  </si>
  <si>
    <t>U010</t>
  </si>
  <si>
    <t>U008</t>
  </si>
  <si>
    <t>U011</t>
  </si>
  <si>
    <t>U003</t>
  </si>
  <si>
    <t>U028</t>
  </si>
  <si>
    <t>U023</t>
  </si>
  <si>
    <t>U024</t>
  </si>
  <si>
    <t>U006</t>
  </si>
  <si>
    <t>U045</t>
  </si>
  <si>
    <t>U047</t>
  </si>
  <si>
    <t>U025</t>
  </si>
  <si>
    <t>U002</t>
  </si>
  <si>
    <t>U038</t>
  </si>
  <si>
    <t>U049</t>
  </si>
  <si>
    <t>U033</t>
  </si>
  <si>
    <t>U001</t>
  </si>
  <si>
    <t>U007</t>
  </si>
  <si>
    <t>U021</t>
  </si>
  <si>
    <t>U004</t>
  </si>
  <si>
    <t>U017</t>
  </si>
  <si>
    <t>U029</t>
  </si>
  <si>
    <t>U022</t>
  </si>
  <si>
    <t>U016</t>
  </si>
  <si>
    <t>U012</t>
  </si>
  <si>
    <t>U037</t>
  </si>
  <si>
    <t>U009</t>
  </si>
  <si>
    <t>U027</t>
  </si>
  <si>
    <t>age_group</t>
  </si>
  <si>
    <t>Row Labels</t>
  </si>
  <si>
    <t>Grand Total</t>
  </si>
  <si>
    <t>Sum of steps</t>
  </si>
  <si>
    <t>Count of record_id</t>
  </si>
  <si>
    <t>Average of calories_burned</t>
  </si>
  <si>
    <t>Apr</t>
  </si>
  <si>
    <t>May</t>
  </si>
  <si>
    <t>Jun</t>
  </si>
  <si>
    <t>Jul</t>
  </si>
  <si>
    <t>Aug</t>
  </si>
  <si>
    <t>Sep</t>
  </si>
  <si>
    <t>Oct</t>
  </si>
  <si>
    <t>Middle age</t>
  </si>
  <si>
    <t>Senior</t>
  </si>
  <si>
    <t>Young</t>
  </si>
  <si>
    <t>Average of heart_rate_avg</t>
  </si>
  <si>
    <t>Average of sleep_hours</t>
  </si>
  <si>
    <t>FITNESS DASHBBOARD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</si>
</sst>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2"/>
      <name val="Arial Black"/>
      <family val="2"/>
    </font>
    <font>
      <sz val="20"/>
      <color theme="2"/>
      <name val="Arial Black"/>
      <family val="2"/>
    </font>
    <font>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22" fontId="0" fillId="0" borderId="0" xfId="0" applyNumberFormat="1"/>
    <xf numFmtId="2" fontId="0" fillId="0" borderId="0" xfId="0" applyNumberFormat="1"/>
    <xf numFmtId="49"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pivotButton="1" applyAlignment="1"/>
    <xf numFmtId="0" fontId="0" fillId="0" borderId="0" xfId="0" applyAlignment="1"/>
    <xf numFmtId="1" fontId="0" fillId="0" borderId="0" xfId="0" applyNumberFormat="1" applyAlignment="1"/>
    <xf numFmtId="0" fontId="0" fillId="33" borderId="0" xfId="0" applyFill="1"/>
    <xf numFmtId="0" fontId="18" fillId="33" borderId="0" xfId="0" applyFont="1" applyFill="1" applyAlignment="1">
      <alignment vertical="center"/>
    </xf>
    <xf numFmtId="0" fontId="0" fillId="33" borderId="0" xfId="0" applyFill="1" applyAlignment="1">
      <alignment vertical="center"/>
    </xf>
    <xf numFmtId="0" fontId="19" fillId="33" borderId="0" xfId="0" applyFont="1" applyFill="1" applyAlignment="1">
      <alignment vertical="center"/>
    </xf>
    <xf numFmtId="0" fontId="20"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wrapText="0"/>
    </dxf>
    <dxf>
      <alignment wrapText="0"/>
    </dxf>
    <dxf>
      <alignment wrapText="0"/>
    </dxf>
    <dxf>
      <alignment wrapText="0"/>
    </dxf>
    <dxf>
      <alignment wrapText="0"/>
    </dxf>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[Fitness Portfolio Project.xlsx]pivot table!PivotTable1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counts of participants per activity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table'!$A$4:$A$11</c:f>
              <c:strCache>
                <c:ptCount val="7"/>
                <c:pt idx="0">
                  <c:v>Cycling</c:v>
                </c:pt>
                <c:pt idx="1">
                  <c:v>HIIT</c:v>
                </c:pt>
                <c:pt idx="2">
                  <c:v>Running</c:v>
                </c:pt>
                <c:pt idx="3">
                  <c:v>Strength Training</c:v>
                </c:pt>
                <c:pt idx="4">
                  <c:v>Swimming</c:v>
                </c:pt>
                <c:pt idx="5">
                  <c:v>Walking</c:v>
                </c:pt>
                <c:pt idx="6">
                  <c:v>Yoga</c:v>
                </c:pt>
              </c:strCache>
            </c:strRef>
          </c:cat>
          <c:val>
            <c:numRef>
              <c:f>'pivot table'!$B$4:$B$11</c:f>
              <c:numCache>
                <c:formatCode>General</c:formatCode>
                <c:ptCount val="7"/>
                <c:pt idx="0">
                  <c:v>23</c:v>
                </c:pt>
                <c:pt idx="1">
                  <c:v>27</c:v>
                </c:pt>
                <c:pt idx="2">
                  <c:v>24</c:v>
                </c:pt>
                <c:pt idx="3">
                  <c:v>27</c:v>
                </c:pt>
                <c:pt idx="4">
                  <c:v>27</c:v>
                </c:pt>
                <c:pt idx="5">
                  <c:v>30</c:v>
                </c:pt>
                <c:pt idx="6">
                  <c:v>42</c:v>
                </c:pt>
              </c:numCache>
            </c:numRef>
          </c:val>
          <c:extLst>
            <c:ext xmlns:c16="http://schemas.microsoft.com/office/drawing/2014/chart" uri="{C3380CC4-5D6E-409C-BE32-E72D297353CC}">
              <c16:uniqueId val="{00000000-00FB-4356-BAAB-3D2AD9B03694}"/>
            </c:ext>
          </c:extLst>
        </c:ser>
        <c:dLbls>
          <c:showLegendKey val="0"/>
          <c:showVal val="0"/>
          <c:showCatName val="0"/>
          <c:showSerName val="0"/>
          <c:showPercent val="0"/>
          <c:showBubbleSize val="0"/>
        </c:dLbls>
        <c:gapWidth val="100"/>
        <c:overlap val="-24"/>
        <c:axId val="2054649535"/>
        <c:axId val="2054647871"/>
      </c:barChart>
      <c:catAx>
        <c:axId val="20546495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Activity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4647871"/>
        <c:crosses val="autoZero"/>
        <c:auto val="1"/>
        <c:lblAlgn val="ctr"/>
        <c:lblOffset val="100"/>
        <c:noMultiLvlLbl val="0"/>
      </c:catAx>
      <c:valAx>
        <c:axId val="205464787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participants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464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[Fitness Portfolio Project.xlsx]pivot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calories burned per activity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table'!$A$14:$A$21</c:f>
              <c:strCache>
                <c:ptCount val="7"/>
                <c:pt idx="0">
                  <c:v>Cycling</c:v>
                </c:pt>
                <c:pt idx="1">
                  <c:v>HIIT</c:v>
                </c:pt>
                <c:pt idx="2">
                  <c:v>Running</c:v>
                </c:pt>
                <c:pt idx="3">
                  <c:v>Strength Training</c:v>
                </c:pt>
                <c:pt idx="4">
                  <c:v>Swimming</c:v>
                </c:pt>
                <c:pt idx="5">
                  <c:v>Walking</c:v>
                </c:pt>
                <c:pt idx="6">
                  <c:v>Yoga</c:v>
                </c:pt>
              </c:strCache>
            </c:strRef>
          </c:cat>
          <c:val>
            <c:numRef>
              <c:f>'pivot table'!$B$14:$B$21</c:f>
              <c:numCache>
                <c:formatCode>0</c:formatCode>
                <c:ptCount val="7"/>
                <c:pt idx="0">
                  <c:v>250.47826086956522</c:v>
                </c:pt>
                <c:pt idx="1">
                  <c:v>320.62962962962962</c:v>
                </c:pt>
                <c:pt idx="2">
                  <c:v>302.83333333333331</c:v>
                </c:pt>
                <c:pt idx="3">
                  <c:v>267.44444444444446</c:v>
                </c:pt>
                <c:pt idx="4">
                  <c:v>286.92592592592592</c:v>
                </c:pt>
                <c:pt idx="5">
                  <c:v>304.03333333333336</c:v>
                </c:pt>
                <c:pt idx="6">
                  <c:v>318.52380952380952</c:v>
                </c:pt>
              </c:numCache>
            </c:numRef>
          </c:val>
          <c:extLst>
            <c:ext xmlns:c16="http://schemas.microsoft.com/office/drawing/2014/chart" uri="{C3380CC4-5D6E-409C-BE32-E72D297353CC}">
              <c16:uniqueId val="{00000000-A31E-4808-9F5A-C437B816FE4F}"/>
            </c:ext>
          </c:extLst>
        </c:ser>
        <c:dLbls>
          <c:showLegendKey val="0"/>
          <c:showVal val="0"/>
          <c:showCatName val="0"/>
          <c:showSerName val="0"/>
          <c:showPercent val="0"/>
          <c:showBubbleSize val="0"/>
        </c:dLbls>
        <c:gapWidth val="115"/>
        <c:overlap val="-20"/>
        <c:axId val="1587573951"/>
        <c:axId val="1587560639"/>
      </c:barChart>
      <c:catAx>
        <c:axId val="158757395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Activity Type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60639"/>
        <c:crosses val="autoZero"/>
        <c:auto val="1"/>
        <c:lblAlgn val="ctr"/>
        <c:lblOffset val="100"/>
        <c:noMultiLvlLbl val="0"/>
      </c:catAx>
      <c:valAx>
        <c:axId val="15875606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Calories burned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7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[Fitness Portfolio Project.xlsx]pivot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steps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c:f>
              <c:strCache>
                <c:ptCount val="1"/>
                <c:pt idx="0">
                  <c:v>Total</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 table'!$A$24:$A$31</c:f>
              <c:strCache>
                <c:ptCount val="7"/>
                <c:pt idx="0">
                  <c:v>Apr</c:v>
                </c:pt>
                <c:pt idx="1">
                  <c:v>May</c:v>
                </c:pt>
                <c:pt idx="2">
                  <c:v>Jun</c:v>
                </c:pt>
                <c:pt idx="3">
                  <c:v>Jul</c:v>
                </c:pt>
                <c:pt idx="4">
                  <c:v>Aug</c:v>
                </c:pt>
                <c:pt idx="5">
                  <c:v>Sep</c:v>
                </c:pt>
                <c:pt idx="6">
                  <c:v>Oct</c:v>
                </c:pt>
              </c:strCache>
            </c:strRef>
          </c:cat>
          <c:val>
            <c:numRef>
              <c:f>'pivot table'!$B$24:$B$31</c:f>
              <c:numCache>
                <c:formatCode>General</c:formatCode>
                <c:ptCount val="7"/>
                <c:pt idx="0">
                  <c:v>135550</c:v>
                </c:pt>
                <c:pt idx="1">
                  <c:v>420983</c:v>
                </c:pt>
                <c:pt idx="2">
                  <c:v>494791</c:v>
                </c:pt>
                <c:pt idx="3">
                  <c:v>415052</c:v>
                </c:pt>
                <c:pt idx="4">
                  <c:v>624658</c:v>
                </c:pt>
                <c:pt idx="5">
                  <c:v>389465</c:v>
                </c:pt>
                <c:pt idx="6">
                  <c:v>323665</c:v>
                </c:pt>
              </c:numCache>
            </c:numRef>
          </c:val>
          <c:smooth val="0"/>
          <c:extLst>
            <c:ext xmlns:c16="http://schemas.microsoft.com/office/drawing/2014/chart" uri="{C3380CC4-5D6E-409C-BE32-E72D297353CC}">
              <c16:uniqueId val="{00000000-0032-4B22-BEDD-6490D4C0F0B8}"/>
            </c:ext>
          </c:extLst>
        </c:ser>
        <c:dLbls>
          <c:showLegendKey val="0"/>
          <c:showVal val="0"/>
          <c:showCatName val="0"/>
          <c:showSerName val="0"/>
          <c:showPercent val="0"/>
          <c:showBubbleSize val="0"/>
        </c:dLbls>
        <c:marker val="1"/>
        <c:smooth val="0"/>
        <c:axId val="1594021967"/>
        <c:axId val="1594023215"/>
      </c:lineChart>
      <c:catAx>
        <c:axId val="15940219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94023215"/>
        <c:crosses val="autoZero"/>
        <c:auto val="1"/>
        <c:lblAlgn val="ctr"/>
        <c:lblOffset val="100"/>
        <c:noMultiLvlLbl val="0"/>
      </c:catAx>
      <c:valAx>
        <c:axId val="159402321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Steps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9402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[Fitness Portfolio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Heart rate per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table'!$C$34</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table'!$B$35:$B$38</c:f>
              <c:strCache>
                <c:ptCount val="3"/>
                <c:pt idx="0">
                  <c:v>Middle age</c:v>
                </c:pt>
                <c:pt idx="1">
                  <c:v>Senior</c:v>
                </c:pt>
                <c:pt idx="2">
                  <c:v>Young</c:v>
                </c:pt>
              </c:strCache>
            </c:strRef>
          </c:cat>
          <c:val>
            <c:numRef>
              <c:f>'pivot table'!$C$35:$C$38</c:f>
              <c:numCache>
                <c:formatCode>0</c:formatCode>
                <c:ptCount val="3"/>
                <c:pt idx="0">
                  <c:v>122.57575757575758</c:v>
                </c:pt>
                <c:pt idx="1">
                  <c:v>121.66101694915254</c:v>
                </c:pt>
                <c:pt idx="2">
                  <c:v>116.04761904761905</c:v>
                </c:pt>
              </c:numCache>
            </c:numRef>
          </c:val>
          <c:smooth val="0"/>
          <c:extLst>
            <c:ext xmlns:c16="http://schemas.microsoft.com/office/drawing/2014/chart" uri="{C3380CC4-5D6E-409C-BE32-E72D297353CC}">
              <c16:uniqueId val="{00000000-028B-4B7F-8A70-C631AFD925D1}"/>
            </c:ext>
          </c:extLst>
        </c:ser>
        <c:dLbls>
          <c:showLegendKey val="0"/>
          <c:showVal val="0"/>
          <c:showCatName val="0"/>
          <c:showSerName val="0"/>
          <c:showPercent val="0"/>
          <c:showBubbleSize val="0"/>
        </c:dLbls>
        <c:marker val="1"/>
        <c:smooth val="0"/>
        <c:axId val="1587575199"/>
        <c:axId val="1587561887"/>
      </c:lineChart>
      <c:catAx>
        <c:axId val="158757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61887"/>
        <c:crosses val="autoZero"/>
        <c:auto val="1"/>
        <c:lblAlgn val="ctr"/>
        <c:lblOffset val="100"/>
        <c:noMultiLvlLbl val="0"/>
      </c:catAx>
      <c:valAx>
        <c:axId val="158756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heart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75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[Fitness Portfolio Project.xlsx]pivot table!PivotTable5</c:name>
    <c:fmtId val="0"/>
  </c:pivotSource>
  <c:chart>
    <c:autoTitleDeleted val="1"/>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table'!$C$40</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table'!$B$41:$B$48</c:f>
              <c:strCache>
                <c:ptCount val="7"/>
                <c:pt idx="0">
                  <c:v>Cycling</c:v>
                </c:pt>
                <c:pt idx="1">
                  <c:v>HIIT</c:v>
                </c:pt>
                <c:pt idx="2">
                  <c:v>Running</c:v>
                </c:pt>
                <c:pt idx="3">
                  <c:v>Strength Training</c:v>
                </c:pt>
                <c:pt idx="4">
                  <c:v>Swimming</c:v>
                </c:pt>
                <c:pt idx="5">
                  <c:v>Walking</c:v>
                </c:pt>
                <c:pt idx="6">
                  <c:v>Yoga</c:v>
                </c:pt>
              </c:strCache>
            </c:strRef>
          </c:cat>
          <c:val>
            <c:numRef>
              <c:f>'pivot table'!$C$41:$C$48</c:f>
              <c:numCache>
                <c:formatCode>0</c:formatCode>
                <c:ptCount val="7"/>
                <c:pt idx="0">
                  <c:v>6.1652173913043473</c:v>
                </c:pt>
                <c:pt idx="1">
                  <c:v>6.4370370370370393</c:v>
                </c:pt>
                <c:pt idx="2">
                  <c:v>6.3500000000000005</c:v>
                </c:pt>
                <c:pt idx="3">
                  <c:v>6.2777777777777786</c:v>
                </c:pt>
                <c:pt idx="4">
                  <c:v>6.1888888888888873</c:v>
                </c:pt>
                <c:pt idx="5">
                  <c:v>7.0500000000000007</c:v>
                </c:pt>
                <c:pt idx="6">
                  <c:v>5.869047619047616</c:v>
                </c:pt>
              </c:numCache>
            </c:numRef>
          </c:val>
          <c:extLst>
            <c:ext xmlns:c16="http://schemas.microsoft.com/office/drawing/2014/chart" uri="{C3380CC4-5D6E-409C-BE32-E72D297353CC}">
              <c16:uniqueId val="{00000000-E355-471E-B551-29B035DD4D7E}"/>
            </c:ext>
          </c:extLst>
        </c:ser>
        <c:dLbls>
          <c:showLegendKey val="0"/>
          <c:showVal val="0"/>
          <c:showCatName val="0"/>
          <c:showSerName val="0"/>
          <c:showPercent val="0"/>
          <c:showBubbleSize val="0"/>
        </c:dLbls>
        <c:gapWidth val="100"/>
        <c:overlap val="-24"/>
        <c:axId val="1587577695"/>
        <c:axId val="1587579775"/>
      </c:barChart>
      <c:catAx>
        <c:axId val="1587577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Activity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87579775"/>
        <c:crosses val="autoZero"/>
        <c:auto val="1"/>
        <c:lblAlgn val="ctr"/>
        <c:lblOffset val="100"/>
        <c:noMultiLvlLbl val="0"/>
      </c:catAx>
      <c:valAx>
        <c:axId val="158757977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sleep hour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8757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[Fitness Portfolio Project.xlsx]pivot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Heart rate per Age group</a:t>
            </a:r>
          </a:p>
        </c:rich>
      </c:tx>
      <c:layout>
        <c:manualLayout>
          <c:xMode val="edge"/>
          <c:yMode val="edge"/>
          <c:x val="0.22867566962493283"/>
          <c:y val="0.1099445902595508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7990559123377"/>
          <c:y val="0.31380702412198475"/>
          <c:w val="0.79272009440876623"/>
          <c:h val="0.43240386618339371"/>
        </c:manualLayout>
      </c:layout>
      <c:lineChart>
        <c:grouping val="standard"/>
        <c:varyColors val="0"/>
        <c:ser>
          <c:idx val="0"/>
          <c:order val="0"/>
          <c:tx>
            <c:strRef>
              <c:f>'pivot table'!$C$34</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table'!$B$35:$B$38</c:f>
              <c:strCache>
                <c:ptCount val="3"/>
                <c:pt idx="0">
                  <c:v>Middle age</c:v>
                </c:pt>
                <c:pt idx="1">
                  <c:v>Senior</c:v>
                </c:pt>
                <c:pt idx="2">
                  <c:v>Young</c:v>
                </c:pt>
              </c:strCache>
            </c:strRef>
          </c:cat>
          <c:val>
            <c:numRef>
              <c:f>'pivot table'!$C$35:$C$38</c:f>
              <c:numCache>
                <c:formatCode>0</c:formatCode>
                <c:ptCount val="3"/>
                <c:pt idx="0">
                  <c:v>122.57575757575758</c:v>
                </c:pt>
                <c:pt idx="1">
                  <c:v>121.66101694915254</c:v>
                </c:pt>
                <c:pt idx="2">
                  <c:v>116.04761904761905</c:v>
                </c:pt>
              </c:numCache>
            </c:numRef>
          </c:val>
          <c:smooth val="0"/>
          <c:extLst>
            <c:ext xmlns:c16="http://schemas.microsoft.com/office/drawing/2014/chart" uri="{C3380CC4-5D6E-409C-BE32-E72D297353CC}">
              <c16:uniqueId val="{00000000-9F6B-4A71-9EF1-0AF7F2C78AD9}"/>
            </c:ext>
          </c:extLst>
        </c:ser>
        <c:dLbls>
          <c:showLegendKey val="0"/>
          <c:showVal val="0"/>
          <c:showCatName val="0"/>
          <c:showSerName val="0"/>
          <c:showPercent val="0"/>
          <c:showBubbleSize val="0"/>
        </c:dLbls>
        <c:marker val="1"/>
        <c:smooth val="0"/>
        <c:axId val="1587575199"/>
        <c:axId val="1587561887"/>
      </c:lineChart>
      <c:catAx>
        <c:axId val="15875751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87561887"/>
        <c:crosses val="autoZero"/>
        <c:auto val="1"/>
        <c:lblAlgn val="ctr"/>
        <c:lblOffset val="100"/>
        <c:noMultiLvlLbl val="0"/>
      </c:catAx>
      <c:valAx>
        <c:axId val="15875618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heart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8757519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N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[Fitness Portfolio Project.xlsx]pivot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steps per month</a:t>
            </a:r>
          </a:p>
        </c:rich>
      </c:tx>
      <c:layout>
        <c:manualLayout>
          <c:xMode val="edge"/>
          <c:yMode val="edge"/>
          <c:x val="0.30014251781472684"/>
          <c:y val="7.34908136482939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97283682770059"/>
          <c:y val="0.24165081364829402"/>
          <c:w val="0.76818947512796054"/>
          <c:h val="0.5558807349081365"/>
        </c:manualLayout>
      </c:layout>
      <c:lineChart>
        <c:grouping val="standard"/>
        <c:varyColors val="0"/>
        <c:ser>
          <c:idx val="0"/>
          <c:order val="0"/>
          <c:tx>
            <c:strRef>
              <c:f>'pivot table'!$B$23</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table'!$A$24:$A$31</c:f>
              <c:strCache>
                <c:ptCount val="7"/>
                <c:pt idx="0">
                  <c:v>Apr</c:v>
                </c:pt>
                <c:pt idx="1">
                  <c:v>May</c:v>
                </c:pt>
                <c:pt idx="2">
                  <c:v>Jun</c:v>
                </c:pt>
                <c:pt idx="3">
                  <c:v>Jul</c:v>
                </c:pt>
                <c:pt idx="4">
                  <c:v>Aug</c:v>
                </c:pt>
                <c:pt idx="5">
                  <c:v>Sep</c:v>
                </c:pt>
                <c:pt idx="6">
                  <c:v>Oct</c:v>
                </c:pt>
              </c:strCache>
            </c:strRef>
          </c:cat>
          <c:val>
            <c:numRef>
              <c:f>'pivot table'!$B$24:$B$31</c:f>
              <c:numCache>
                <c:formatCode>General</c:formatCode>
                <c:ptCount val="7"/>
                <c:pt idx="0">
                  <c:v>135550</c:v>
                </c:pt>
                <c:pt idx="1">
                  <c:v>420983</c:v>
                </c:pt>
                <c:pt idx="2">
                  <c:v>494791</c:v>
                </c:pt>
                <c:pt idx="3">
                  <c:v>415052</c:v>
                </c:pt>
                <c:pt idx="4">
                  <c:v>624658</c:v>
                </c:pt>
                <c:pt idx="5">
                  <c:v>389465</c:v>
                </c:pt>
                <c:pt idx="6">
                  <c:v>323665</c:v>
                </c:pt>
              </c:numCache>
            </c:numRef>
          </c:val>
          <c:smooth val="0"/>
          <c:extLst>
            <c:ext xmlns:c16="http://schemas.microsoft.com/office/drawing/2014/chart" uri="{C3380CC4-5D6E-409C-BE32-E72D297353CC}">
              <c16:uniqueId val="{00000000-A3E7-4692-BB28-BBC7FF7B258E}"/>
            </c:ext>
          </c:extLst>
        </c:ser>
        <c:dLbls>
          <c:dLblPos val="t"/>
          <c:showLegendKey val="0"/>
          <c:showVal val="1"/>
          <c:showCatName val="0"/>
          <c:showSerName val="0"/>
          <c:showPercent val="0"/>
          <c:showBubbleSize val="0"/>
        </c:dLbls>
        <c:marker val="1"/>
        <c:smooth val="0"/>
        <c:axId val="1594021967"/>
        <c:axId val="1594023215"/>
      </c:lineChart>
      <c:catAx>
        <c:axId val="15940219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94023215"/>
        <c:crosses val="autoZero"/>
        <c:auto val="1"/>
        <c:lblAlgn val="ctr"/>
        <c:lblOffset val="100"/>
        <c:noMultiLvlLbl val="0"/>
      </c:catAx>
      <c:valAx>
        <c:axId val="159402321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Steps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59402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[Fitness Portfolio Project.xlsx]pivot table!PivotTable5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sleep time per activity</a:t>
            </a:r>
          </a:p>
        </c:rich>
      </c:tx>
      <c:layout>
        <c:manualLayout>
          <c:xMode val="edge"/>
          <c:yMode val="edge"/>
          <c:x val="0.21149051490514909"/>
          <c:y val="7.34908445105908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32371664924004E-2"/>
          <c:y val="0.2736509285673191"/>
          <c:w val="0.89012056419776797"/>
          <c:h val="0.43486884403940956"/>
        </c:manualLayout>
      </c:layout>
      <c:barChart>
        <c:barDir val="col"/>
        <c:grouping val="clustered"/>
        <c:varyColors val="0"/>
        <c:ser>
          <c:idx val="0"/>
          <c:order val="0"/>
          <c:tx>
            <c:strRef>
              <c:f>'pivot table'!$C$40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table'!$B$41:$B$48</c:f>
              <c:strCache>
                <c:ptCount val="7"/>
                <c:pt idx="0">
                  <c:v>Cycling</c:v>
                </c:pt>
                <c:pt idx="1">
                  <c:v>HIIT</c:v>
                </c:pt>
                <c:pt idx="2">
                  <c:v>Running</c:v>
                </c:pt>
                <c:pt idx="3">
                  <c:v>Strength Training</c:v>
                </c:pt>
                <c:pt idx="4">
                  <c:v>Swimming</c:v>
                </c:pt>
                <c:pt idx="5">
                  <c:v>Walking</c:v>
                </c:pt>
                <c:pt idx="6">
                  <c:v>Yoga</c:v>
                </c:pt>
              </c:strCache>
            </c:strRef>
          </c:cat>
          <c:val>
            <c:numRef>
              <c:f>'pivot table'!$C$41:$C$48</c:f>
              <c:numCache>
                <c:formatCode>0</c:formatCode>
                <c:ptCount val="7"/>
                <c:pt idx="0">
                  <c:v>6.1652173913043473</c:v>
                </c:pt>
                <c:pt idx="1">
                  <c:v>6.4370370370370393</c:v>
                </c:pt>
                <c:pt idx="2">
                  <c:v>6.3500000000000005</c:v>
                </c:pt>
                <c:pt idx="3">
                  <c:v>6.2777777777777786</c:v>
                </c:pt>
                <c:pt idx="4">
                  <c:v>6.1888888888888873</c:v>
                </c:pt>
                <c:pt idx="5">
                  <c:v>7.0500000000000007</c:v>
                </c:pt>
                <c:pt idx="6">
                  <c:v>5.869047619047616</c:v>
                </c:pt>
              </c:numCache>
            </c:numRef>
          </c:val>
          <c:extLst>
            <c:ext xmlns:c16="http://schemas.microsoft.com/office/drawing/2014/chart" uri="{C3380CC4-5D6E-409C-BE32-E72D297353CC}">
              <c16:uniqueId val="{00000000-EB80-423D-9420-7306D2577410}"/>
            </c:ext>
          </c:extLst>
        </c:ser>
        <c:dLbls>
          <c:showLegendKey val="0"/>
          <c:showVal val="0"/>
          <c:showCatName val="0"/>
          <c:showSerName val="0"/>
          <c:showPercent val="0"/>
          <c:showBubbleSize val="0"/>
        </c:dLbls>
        <c:gapWidth val="100"/>
        <c:overlap val="-24"/>
        <c:axId val="1587577695"/>
        <c:axId val="1587579775"/>
      </c:barChart>
      <c:catAx>
        <c:axId val="1587577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79775"/>
        <c:crosses val="autoZero"/>
        <c:auto val="1"/>
        <c:lblAlgn val="ctr"/>
        <c:lblOffset val="100"/>
        <c:noMultiLvlLbl val="0"/>
      </c:catAx>
      <c:valAx>
        <c:axId val="1587579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7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 Portfolio Project.xlsx]pivot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Calories burned per activity</a:t>
            </a:r>
          </a:p>
        </c:rich>
      </c:tx>
      <c:layout>
        <c:manualLayout>
          <c:xMode val="edge"/>
          <c:yMode val="edge"/>
          <c:x val="0.15121045027872956"/>
          <c:y val="6.80647733821414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93943588463547"/>
          <c:y val="0.15659284459194814"/>
          <c:w val="0.61051109245350099"/>
          <c:h val="0.78215759094775938"/>
        </c:manualLayout>
      </c:layout>
      <c:barChart>
        <c:barDir val="bar"/>
        <c:grouping val="clustered"/>
        <c:varyColors val="0"/>
        <c:ser>
          <c:idx val="0"/>
          <c:order val="0"/>
          <c:tx>
            <c:strRef>
              <c:f>'pivot table'!$B$13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table'!$A$14:$A$21</c:f>
              <c:strCache>
                <c:ptCount val="7"/>
                <c:pt idx="0">
                  <c:v>Cycling</c:v>
                </c:pt>
                <c:pt idx="1">
                  <c:v>HIIT</c:v>
                </c:pt>
                <c:pt idx="2">
                  <c:v>Running</c:v>
                </c:pt>
                <c:pt idx="3">
                  <c:v>Strength Training</c:v>
                </c:pt>
                <c:pt idx="4">
                  <c:v>Swimming</c:v>
                </c:pt>
                <c:pt idx="5">
                  <c:v>Walking</c:v>
                </c:pt>
                <c:pt idx="6">
                  <c:v>Yoga</c:v>
                </c:pt>
              </c:strCache>
            </c:strRef>
          </c:cat>
          <c:val>
            <c:numRef>
              <c:f>'pivot table'!$B$14:$B$21</c:f>
              <c:numCache>
                <c:formatCode>0</c:formatCode>
                <c:ptCount val="7"/>
                <c:pt idx="0">
                  <c:v>250.47826086956522</c:v>
                </c:pt>
                <c:pt idx="1">
                  <c:v>320.62962962962962</c:v>
                </c:pt>
                <c:pt idx="2">
                  <c:v>302.83333333333331</c:v>
                </c:pt>
                <c:pt idx="3">
                  <c:v>267.44444444444446</c:v>
                </c:pt>
                <c:pt idx="4">
                  <c:v>286.92592592592592</c:v>
                </c:pt>
                <c:pt idx="5">
                  <c:v>304.03333333333336</c:v>
                </c:pt>
                <c:pt idx="6">
                  <c:v>318.52380952380952</c:v>
                </c:pt>
              </c:numCache>
            </c:numRef>
          </c:val>
          <c:extLst>
            <c:ext xmlns:c16="http://schemas.microsoft.com/office/drawing/2014/chart" uri="{C3380CC4-5D6E-409C-BE32-E72D297353CC}">
              <c16:uniqueId val="{00000000-E98F-4226-9F92-6E02418D9C3A}"/>
            </c:ext>
          </c:extLst>
        </c:ser>
        <c:dLbls>
          <c:dLblPos val="outEnd"/>
          <c:showLegendKey val="0"/>
          <c:showVal val="1"/>
          <c:showCatName val="0"/>
          <c:showSerName val="0"/>
          <c:showPercent val="0"/>
          <c:showBubbleSize val="0"/>
        </c:dLbls>
        <c:gapWidth val="115"/>
        <c:overlap val="-20"/>
        <c:axId val="1587573951"/>
        <c:axId val="1587560639"/>
      </c:barChart>
      <c:catAx>
        <c:axId val="15875739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60639"/>
        <c:crosses val="autoZero"/>
        <c:auto val="1"/>
        <c:lblAlgn val="ctr"/>
        <c:lblOffset val="100"/>
        <c:noMultiLvlLbl val="0"/>
      </c:catAx>
      <c:valAx>
        <c:axId val="158756063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7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[Fitness Portfolio Project.xlsx]pivot table!PivotTable1</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participants per activity</a:t>
            </a:r>
          </a:p>
        </c:rich>
      </c:tx>
      <c:layout>
        <c:manualLayout>
          <c:xMode val="edge"/>
          <c:yMode val="edge"/>
          <c:x val="0.19364991490077993"/>
          <c:y val="0.1095099812185610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11746186121037E-2"/>
          <c:y val="0.25459556001138672"/>
          <c:w val="0.88925056576954009"/>
          <c:h val="0.5242565230850692"/>
        </c:manualLayout>
      </c:layout>
      <c:barChart>
        <c:barDir val="col"/>
        <c:grouping val="clustered"/>
        <c:varyColors val="0"/>
        <c:ser>
          <c:idx val="0"/>
          <c:order val="0"/>
          <c:tx>
            <c:strRef>
              <c:f>'pivot table'!$B$3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Cycling</c:v>
                </c:pt>
                <c:pt idx="1">
                  <c:v>HIIT</c:v>
                </c:pt>
                <c:pt idx="2">
                  <c:v>Running</c:v>
                </c:pt>
                <c:pt idx="3">
                  <c:v>Strength Training</c:v>
                </c:pt>
                <c:pt idx="4">
                  <c:v>Swimming</c:v>
                </c:pt>
                <c:pt idx="5">
                  <c:v>Walking</c:v>
                </c:pt>
                <c:pt idx="6">
                  <c:v>Yoga</c:v>
                </c:pt>
              </c:strCache>
            </c:strRef>
          </c:cat>
          <c:val>
            <c:numRef>
              <c:f>'pivot table'!$B$4:$B$11</c:f>
              <c:numCache>
                <c:formatCode>General</c:formatCode>
                <c:ptCount val="7"/>
                <c:pt idx="0">
                  <c:v>23</c:v>
                </c:pt>
                <c:pt idx="1">
                  <c:v>27</c:v>
                </c:pt>
                <c:pt idx="2">
                  <c:v>24</c:v>
                </c:pt>
                <c:pt idx="3">
                  <c:v>27</c:v>
                </c:pt>
                <c:pt idx="4">
                  <c:v>27</c:v>
                </c:pt>
                <c:pt idx="5">
                  <c:v>30</c:v>
                </c:pt>
                <c:pt idx="6">
                  <c:v>42</c:v>
                </c:pt>
              </c:numCache>
            </c:numRef>
          </c:val>
          <c:extLst>
            <c:ext xmlns:c16="http://schemas.microsoft.com/office/drawing/2014/chart" uri="{C3380CC4-5D6E-409C-BE32-E72D297353CC}">
              <c16:uniqueId val="{00000000-BFE8-49C6-9C7A-116B0C30D769}"/>
            </c:ext>
          </c:extLst>
        </c:ser>
        <c:dLbls>
          <c:dLblPos val="outEnd"/>
          <c:showLegendKey val="0"/>
          <c:showVal val="1"/>
          <c:showCatName val="0"/>
          <c:showSerName val="0"/>
          <c:showPercent val="0"/>
          <c:showBubbleSize val="0"/>
        </c:dLbls>
        <c:gapWidth val="100"/>
        <c:overlap val="-24"/>
        <c:axId val="2054649535"/>
        <c:axId val="2054647871"/>
      </c:barChart>
      <c:catAx>
        <c:axId val="2054649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4647871"/>
        <c:crosses val="autoZero"/>
        <c:auto val="1"/>
        <c:lblAlgn val="ctr"/>
        <c:lblOffset val="100"/>
        <c:noMultiLvlLbl val="0"/>
      </c:catAx>
      <c:valAx>
        <c:axId val="205464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464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314325</xdr:colOff>
      <xdr:row>0</xdr:row>
      <xdr:rowOff>19050</xdr:rowOff>
    </xdr:from>
    <xdr:to>
      <xdr:col>7</xdr:col>
      <xdr:colOff>342900</xdr:colOff>
      <xdr:row>11</xdr:row>
      <xdr:rowOff>76200</xdr:rowOff>
    </xdr:to>
    <xdr:graphicFrame macro="">
      <xdr:nvGraphicFramePr>
        <xdr:cNvPr id="2" name="Chart 1">
          <a:extLst>
            <a:ext uri="{FF2B5EF4-FFF2-40B4-BE49-F238E27FC236}">
              <a16:creationId xmlns:a16="http://schemas.microsoft.com/office/drawing/2014/main" id="{44578EDE-EEF0-4C5E-B3FA-40160A280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819150</xdr:colOff>
      <xdr:row>11</xdr:row>
      <xdr:rowOff>180975</xdr:rowOff>
    </xdr:from>
    <xdr:to>
      <xdr:col>8</xdr:col>
      <xdr:colOff>219075</xdr:colOff>
      <xdr:row>24</xdr:row>
      <xdr:rowOff>38100</xdr:rowOff>
    </xdr:to>
    <xdr:graphicFrame macro="">
      <xdr:nvGraphicFramePr>
        <xdr:cNvPr id="3" name="Chart 2">
          <a:extLst>
            <a:ext uri="{FF2B5EF4-FFF2-40B4-BE49-F238E27FC236}">
              <a16:creationId xmlns:a16="http://schemas.microsoft.com/office/drawing/2014/main" id="{5EF51C9A-C0AB-490A-9B5B-CFFCF3E70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276225</xdr:colOff>
      <xdr:row>17</xdr:row>
      <xdr:rowOff>114299</xdr:rowOff>
    </xdr:from>
    <xdr:to>
      <xdr:col>14</xdr:col>
      <xdr:colOff>76200</xdr:colOff>
      <xdr:row>30</xdr:row>
      <xdr:rowOff>161925</xdr:rowOff>
    </xdr:to>
    <xdr:graphicFrame macro="">
      <xdr:nvGraphicFramePr>
        <xdr:cNvPr id="4" name="Chart 3">
          <a:extLst>
            <a:ext uri="{FF2B5EF4-FFF2-40B4-BE49-F238E27FC236}">
              <a16:creationId xmlns:a16="http://schemas.microsoft.com/office/drawing/2014/main" id="{B09B7A5C-F187-4F99-98AD-C2CB7A871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428625</xdr:colOff>
      <xdr:row>32</xdr:row>
      <xdr:rowOff>28574</xdr:rowOff>
    </xdr:from>
    <xdr:to>
      <xdr:col>13</xdr:col>
      <xdr:colOff>466725</xdr:colOff>
      <xdr:row>44</xdr:row>
      <xdr:rowOff>171450</xdr:rowOff>
    </xdr:to>
    <xdr:graphicFrame macro="">
      <xdr:nvGraphicFramePr>
        <xdr:cNvPr id="5" name="Chart 4">
          <a:extLst>
            <a:ext uri="{FF2B5EF4-FFF2-40B4-BE49-F238E27FC236}">
              <a16:creationId xmlns:a16="http://schemas.microsoft.com/office/drawing/2014/main" id="{15D711BD-2186-4105-B21E-C9889DEDC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133350</xdr:colOff>
      <xdr:row>41</xdr:row>
      <xdr:rowOff>142873</xdr:rowOff>
    </xdr:from>
    <xdr:to>
      <xdr:col>9</xdr:col>
      <xdr:colOff>28575</xdr:colOff>
      <xdr:row>63</xdr:row>
      <xdr:rowOff>19050</xdr:rowOff>
    </xdr:to>
    <xdr:graphicFrame macro="">
      <xdr:nvGraphicFramePr>
        <xdr:cNvPr id="6" name="Chart 5">
          <a:extLst>
            <a:ext uri="{FF2B5EF4-FFF2-40B4-BE49-F238E27FC236}">
              <a16:creationId xmlns:a16="http://schemas.microsoft.com/office/drawing/2014/main" id="{5C3E8CC7-DAC5-4616-9536-16E4A1E6E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85726</xdr:colOff>
      <xdr:row>3</xdr:row>
      <xdr:rowOff>9525</xdr:rowOff>
    </xdr:from>
    <xdr:to>
      <xdr:col>11</xdr:col>
      <xdr:colOff>1171575</xdr:colOff>
      <xdr:row>15</xdr:row>
      <xdr:rowOff>123825</xdr:rowOff>
    </xdr:to>
    <xdr:graphicFrame macro="">
      <xdr:nvGraphicFramePr>
        <xdr:cNvPr id="7" name="Chart 6">
          <a:extLst>
            <a:ext uri="{FF2B5EF4-FFF2-40B4-BE49-F238E27FC236}">
              <a16:creationId xmlns:a16="http://schemas.microsoft.com/office/drawing/2014/main" id="{C1D7F5BF-50B1-4A0D-8F4B-EF6E1CD49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200025</xdr:colOff>
      <xdr:row>15</xdr:row>
      <xdr:rowOff>123825</xdr:rowOff>
    </xdr:from>
    <xdr:to>
      <xdr:col>7</xdr:col>
      <xdr:colOff>85725</xdr:colOff>
      <xdr:row>28</xdr:row>
      <xdr:rowOff>28575</xdr:rowOff>
    </xdr:to>
    <xdr:graphicFrame macro="">
      <xdr:nvGraphicFramePr>
        <xdr:cNvPr id="8" name="Chart 7">
          <a:extLst>
            <a:ext uri="{FF2B5EF4-FFF2-40B4-BE49-F238E27FC236}">
              <a16:creationId xmlns:a16="http://schemas.microsoft.com/office/drawing/2014/main" id="{71859D65-3B68-41F9-9C21-5959EB647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95250</xdr:colOff>
      <xdr:row>15</xdr:row>
      <xdr:rowOff>133350</xdr:rowOff>
    </xdr:from>
    <xdr:to>
      <xdr:col>11</xdr:col>
      <xdr:colOff>1171575</xdr:colOff>
      <xdr:row>28</xdr:row>
      <xdr:rowOff>28575</xdr:rowOff>
    </xdr:to>
    <xdr:graphicFrame macro="">
      <xdr:nvGraphicFramePr>
        <xdr:cNvPr id="9" name="Chart 8">
          <a:extLst>
            <a:ext uri="{FF2B5EF4-FFF2-40B4-BE49-F238E27FC236}">
              <a16:creationId xmlns:a16="http://schemas.microsoft.com/office/drawing/2014/main" id="{BA763CCB-73DC-4C58-92CB-17E558EC5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1171575</xdr:colOff>
      <xdr:row>3</xdr:row>
      <xdr:rowOff>9525</xdr:rowOff>
    </xdr:from>
    <xdr:to>
      <xdr:col>12</xdr:col>
      <xdr:colOff>0</xdr:colOff>
      <xdr:row>28</xdr:row>
      <xdr:rowOff>38101</xdr:rowOff>
    </xdr:to>
    <xdr:graphicFrame macro="">
      <xdr:nvGraphicFramePr>
        <xdr:cNvPr id="10" name="Chart 9">
          <a:extLst>
            <a:ext uri="{FF2B5EF4-FFF2-40B4-BE49-F238E27FC236}">
              <a16:creationId xmlns:a16="http://schemas.microsoft.com/office/drawing/2014/main" id="{F92DA94D-B0A2-430A-B68E-37871F96F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200025</xdr:colOff>
      <xdr:row>2</xdr:row>
      <xdr:rowOff>704849</xdr:rowOff>
    </xdr:from>
    <xdr:to>
      <xdr:col>7</xdr:col>
      <xdr:colOff>85725</xdr:colOff>
      <xdr:row>15</xdr:row>
      <xdr:rowOff>123825</xdr:rowOff>
    </xdr:to>
    <xdr:graphicFrame macro="">
      <xdr:nvGraphicFramePr>
        <xdr:cNvPr id="11" name="Chart 10">
          <a:extLst>
            <a:ext uri="{FF2B5EF4-FFF2-40B4-BE49-F238E27FC236}">
              <a16:creationId xmlns:a16="http://schemas.microsoft.com/office/drawing/2014/main" id="{9F2D960E-5E44-41F0-A431-2B35AA3F2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9526</xdr:rowOff>
    </xdr:from>
    <xdr:to>
      <xdr:col>2</xdr:col>
      <xdr:colOff>200025</xdr:colOff>
      <xdr:row>9</xdr:row>
      <xdr:rowOff>76200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3C3CC410-21B8-4377-BD87-5AD92B6120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809626"/>
              <a:ext cx="1419225" cy="12096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76201</xdr:rowOff>
    </xdr:from>
    <xdr:to>
      <xdr:col>2</xdr:col>
      <xdr:colOff>200025</xdr:colOff>
      <xdr:row>15</xdr:row>
      <xdr:rowOff>152400</xdr:rowOff>
    </xdr:to>
    <mc:AlternateContent xmlns:mc="http://schemas.openxmlformats.org/markup-compatibility/2006" xmlns:a14="http://schemas.microsoft.com/office/drawing/2010/main">
      <mc:Choice Requires="a14">
        <xdr:graphicFrame macro="">
          <xdr:nvGraphicFramePr>
            <xdr:cNvPr id="13" name="age_group">
              <a:extLst>
                <a:ext uri="{FF2B5EF4-FFF2-40B4-BE49-F238E27FC236}">
                  <a16:creationId xmlns:a16="http://schemas.microsoft.com/office/drawing/2014/main" id="{5244AF06-E41F-4F5A-A5AE-3EA98AE70131}"/>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525" y="2019301"/>
              <a:ext cx="1409700" cy="12191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15</xdr:row>
      <xdr:rowOff>152400</xdr:rowOff>
    </xdr:from>
    <xdr:to>
      <xdr:col>2</xdr:col>
      <xdr:colOff>200025</xdr:colOff>
      <xdr:row>28</xdr:row>
      <xdr:rowOff>9525</xdr:rowOff>
    </xdr:to>
    <mc:AlternateContent xmlns:mc="http://schemas.openxmlformats.org/markup-compatibility/2006" xmlns:a14="http://schemas.microsoft.com/office/drawing/2010/main">
      <mc:Choice Requires="a14">
        <xdr:graphicFrame macro="">
          <xdr:nvGraphicFramePr>
            <xdr:cNvPr id="14" name="activity_type">
              <a:extLst>
                <a:ext uri="{FF2B5EF4-FFF2-40B4-BE49-F238E27FC236}">
                  <a16:creationId xmlns:a16="http://schemas.microsoft.com/office/drawing/2014/main" id="{91ECBA22-4252-47CF-9F21-5970C7C14231}"/>
                </a:ext>
              </a:extLst>
            </xdr:cNvPr>
            <xdr:cNvGraphicFramePr/>
          </xdr:nvGraphicFramePr>
          <xdr:xfrm>
            <a:off x="0" y="0"/>
            <a:ext cx="0" cy="0"/>
          </xdr:xfrm>
          <a:graphic>
            <a:graphicData uri="http://schemas.microsoft.com/office/drawing/2010/slicer">
              <sle:slicer xmlns:sle="http://schemas.microsoft.com/office/drawing/2010/slicer" name="activity_type"/>
            </a:graphicData>
          </a:graphic>
        </xdr:graphicFrame>
      </mc:Choice>
      <mc:Fallback xmlns="">
        <xdr:sp macro="" textlink="">
          <xdr:nvSpPr>
            <xdr:cNvPr id="0" name=""/>
            <xdr:cNvSpPr>
              <a:spLocks noTextEdit="1"/>
            </xdr:cNvSpPr>
          </xdr:nvSpPr>
          <xdr:spPr>
            <a:xfrm>
              <a:off x="9525" y="3238500"/>
              <a:ext cx="1409700" cy="23336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4.575103009258" createdVersion="7" refreshedVersion="7" minRefreshableVersion="3" recordCount="200" xr:uid="{00000000-000A-0000-FFFF-FFFF09000000}">
  <cacheSource type="worksheet">
    <worksheetSource ref="A1:M201" sheet="worksheet"/>
  </cacheSource>
  <cacheFields count="14">
    <cacheField name="record_id" numFmtId="0">
      <sharedItems containsSemiMixedTypes="0" containsString="0" containsNumber="1" containsInteger="1" minValue="1" maxValue="200"/>
    </cacheField>
    <cacheField name="timestamp" numFmtId="22">
      <sharedItems containsSemiMixedTypes="0" containsNonDate="0" containsDate="1" containsString="0" minDate="2025-04-24T14:20:54" maxDate="2025-10-16T12:55:54" count="199">
        <d v="2025-07-22T09:22:54"/>
        <d v="2025-05-28T13:53:54"/>
        <d v="2025-08-07T01:36:54"/>
        <d v="2025-07-17T01:56:54"/>
        <d v="2025-08-11T03:22:54"/>
        <d v="2025-07-25T13:00:54"/>
        <d v="2025-05-21T08:47:54"/>
        <d v="2025-06-28T14:29:54"/>
        <d v="2025-08-02T19:57:54"/>
        <d v="2025-08-31T09:54:54"/>
        <d v="2025-05-18T06:34:54"/>
        <d v="2025-06-13T16:19:54"/>
        <d v="2025-07-08T21:56:54"/>
        <d v="2025-10-09T19:54:54"/>
        <d v="2025-10-11T19:17:54"/>
        <d v="2025-06-15T17:54:54"/>
        <d v="2025-04-25T23:23:54"/>
        <d v="2025-05-03T09:30:54"/>
        <d v="2025-04-27T03:58:54"/>
        <d v="2025-10-12T20:37:54"/>
        <d v="2025-05-20T23:55:54"/>
        <d v="2025-08-17T18:22:54"/>
        <d v="2025-04-29T05:55:54"/>
        <d v="2025-08-24T09:24:54"/>
        <d v="2025-07-05T01:55:54"/>
        <d v="2025-07-06T05:02:54"/>
        <d v="2025-08-04T05:10:54"/>
        <d v="2025-10-09T21:07:54"/>
        <d v="2025-04-27T09:21:54"/>
        <d v="2025-10-10T12:04:54"/>
        <d v="2025-08-16T06:35:54"/>
        <d v="2025-07-04T06:59:54"/>
        <d v="2025-06-19T20:38:54"/>
        <d v="2025-05-02T14:53:54"/>
        <d v="2025-07-22T08:34:54"/>
        <d v="2025-09-09T20:29:54"/>
        <d v="2025-09-17T19:29:54"/>
        <d v="2025-05-30T05:26:54"/>
        <d v="2025-05-18T12:32:54"/>
        <d v="2025-08-01T16:40:54"/>
        <d v="2025-09-05T12:31:54"/>
        <d v="2025-08-03T04:32:54"/>
        <d v="2025-06-30T01:41:54"/>
        <d v="2025-10-11T17:01:54"/>
        <d v="2025-10-08T09:23:54"/>
        <d v="2025-06-23T11:58:54"/>
        <d v="2025-06-27T22:00:54"/>
        <d v="2025-08-31T18:23:54"/>
        <d v="2025-06-30T06:13:54"/>
        <d v="2025-08-22T12:38:54"/>
        <d v="2025-06-16T16:56:54"/>
        <d v="2025-09-12T09:44:54"/>
        <d v="2025-08-14T02:48:54"/>
        <d v="2025-08-29T03:20:54"/>
        <d v="2025-10-07T18:43:54"/>
        <d v="2025-10-04T17:11:54"/>
        <d v="2025-08-31T05:26:54"/>
        <d v="2025-05-30T18:10:54"/>
        <d v="2025-07-24T02:15:54"/>
        <d v="2025-10-13T06:18:54"/>
        <d v="2025-05-18T04:01:54"/>
        <d v="2025-08-02T07:23:54"/>
        <d v="2025-09-09T06:17:54"/>
        <d v="2025-07-10T04:22:54"/>
        <d v="2025-06-07T02:04:54"/>
        <d v="2025-06-16T15:25:54"/>
        <d v="2025-06-06T12:21:54"/>
        <d v="2025-06-11T01:43:54"/>
        <d v="2025-06-13T17:45:54"/>
        <d v="2025-10-01T05:02:54"/>
        <d v="2025-09-24T08:44:54"/>
        <d v="2025-06-05T09:18:54"/>
        <d v="2025-10-04T00:17:54"/>
        <d v="2025-05-30T23:11:54"/>
        <d v="2025-10-02T05:12:54"/>
        <d v="2025-05-16T02:31:54"/>
        <d v="2025-05-31T15:00:54"/>
        <d v="2025-07-14T03:36:54"/>
        <d v="2025-04-28T22:25:54"/>
        <d v="2025-09-06T22:14:54"/>
        <d v="2025-08-23T04:41:54"/>
        <d v="2025-10-09T02:01:54"/>
        <d v="2025-09-21T17:57:54"/>
        <d v="2025-08-30T17:09:54"/>
        <d v="2025-09-22T00:01:54"/>
        <d v="2025-09-10T01:02:54"/>
        <d v="2025-09-08T01:26:54"/>
        <d v="2025-09-11T13:58:54"/>
        <d v="2025-08-23T03:00:54"/>
        <d v="2025-05-30T19:39:54"/>
        <d v="2025-09-27T09:35:54"/>
        <d v="2025-06-25T19:37:54"/>
        <d v="2025-05-15T16:06:54"/>
        <d v="2025-08-07T22:39:54"/>
        <d v="2025-07-29T21:19:54"/>
        <d v="2025-07-30T19:56:54"/>
        <d v="2025-05-21T23:04:54"/>
        <d v="2025-08-23T05:29:54"/>
        <d v="2025-06-03T09:47:54"/>
        <d v="2025-09-27T10:06:54"/>
        <d v="2025-06-05T01:48:54"/>
        <d v="2025-05-21T04:20:54"/>
        <d v="2025-08-19T18:03:54"/>
        <d v="2025-06-13T14:32:54"/>
        <d v="2025-07-04T23:13:54"/>
        <d v="2025-08-26T08:02:54"/>
        <d v="2025-07-05T03:08:54"/>
        <d v="2025-07-23T22:37:54"/>
        <d v="2025-10-02T13:06:54"/>
        <d v="2025-05-24T22:40:54"/>
        <d v="2025-10-06T14:49:54"/>
        <d v="2025-04-24T14:20:54"/>
        <d v="2025-09-03T07:41:54"/>
        <d v="2025-10-07T06:42:54"/>
        <d v="2025-06-01T08:47:54"/>
        <d v="2025-06-09T06:27:54"/>
        <d v="2025-05-05T05:25:54"/>
        <d v="2025-08-08T06:48:54"/>
        <d v="2025-08-16T21:34:54"/>
        <d v="2025-09-13T15:36:54"/>
        <d v="2025-06-05T16:41:54"/>
        <d v="2025-05-13T22:47:54"/>
        <d v="2025-09-19T02:50:54"/>
        <d v="2025-06-09T04:54:54"/>
        <d v="2025-06-12T13:44:54"/>
        <d v="2025-08-19T04:20:54"/>
        <d v="2025-06-11T00:13:54"/>
        <d v="2025-06-20T02:50:54"/>
        <d v="2025-08-25T11:58:54"/>
        <d v="2025-07-05T14:24:54"/>
        <d v="2025-07-17T03:59:54"/>
        <d v="2025-10-12T21:55:54"/>
        <d v="2025-08-13T02:48:54"/>
        <d v="2025-08-11T11:40:54"/>
        <d v="2025-09-10T01:52:54"/>
        <d v="2025-07-02T18:18:54"/>
        <d v="2025-08-26T12:54:54"/>
        <d v="2025-07-10T13:13:54"/>
        <d v="2025-04-25T03:12:54"/>
        <d v="2025-09-18T20:22:54"/>
        <d v="2025-09-25T07:57:54"/>
        <d v="2025-06-07T11:44:54"/>
        <d v="2025-05-28T10:47:54"/>
        <d v="2025-06-03T23:43:54"/>
        <d v="2025-07-09T13:43:54"/>
        <d v="2025-04-29T09:35:54"/>
        <d v="2025-04-29T03:08:54"/>
        <d v="2025-08-22T10:50:54"/>
        <d v="2025-05-20T15:31:54"/>
        <d v="2025-09-01T05:07:54"/>
        <d v="2025-10-16T07:25:54"/>
        <d v="2025-06-27T03:28:54"/>
        <d v="2025-09-18T14:55:54"/>
        <d v="2025-06-29T07:43:54"/>
        <d v="2025-04-24T18:45:54"/>
        <d v="2025-08-06T07:45:54"/>
        <d v="2025-08-04T05:57:54"/>
        <d v="2025-06-01T23:11:54"/>
        <d v="2025-05-08T21:33:54"/>
        <d v="2025-07-22T17:52:54"/>
        <d v="2025-08-09T19:17:54"/>
        <d v="2025-08-23T19:36:54"/>
        <d v="2025-08-26T02:17:54"/>
        <d v="2025-09-02T11:04:54"/>
        <d v="2025-05-08T17:22:54"/>
        <d v="2025-10-16T12:55:54"/>
        <d v="2025-09-28T22:31:54"/>
        <d v="2025-08-13T12:20:54"/>
        <d v="2025-06-16T19:29:54"/>
        <d v="2025-07-20T14:46:54"/>
        <d v="2025-10-15T18:30:54"/>
        <d v="2025-05-07T04:31:54"/>
        <d v="2025-08-26T04:41:54"/>
        <d v="2025-07-29T17:17:54"/>
        <d v="2025-08-06T05:11:54"/>
        <d v="2025-09-15T12:30:54"/>
        <d v="2025-08-23T11:54:54"/>
        <d v="2025-07-28T16:07:54"/>
        <d v="2025-10-02T04:53:54"/>
        <d v="2025-09-26T11:07:54"/>
        <d v="2025-06-02T01:56:54"/>
        <d v="2025-06-04T16:31:54"/>
        <d v="2025-06-27T01:16:54"/>
        <d v="2025-05-05T11:55:54"/>
        <d v="2025-09-22T00:27:54"/>
        <d v="2025-08-16T01:12:54"/>
        <d v="2025-07-22T21:40:54"/>
        <d v="2025-08-19T10:13:54"/>
        <d v="2025-10-02T09:01:54"/>
        <d v="2025-06-15T22:11:54"/>
        <d v="2025-04-30T07:54:54"/>
        <d v="2025-07-03T16:21:54"/>
        <d v="2025-05-16T02:46:54"/>
        <d v="2025-08-14T19:46:54"/>
        <d v="2025-05-28T13:00:54"/>
        <d v="2025-10-10T22:31:54"/>
        <d v="2025-06-12T04:53:54"/>
        <d v="2025-10-11T21:37:54"/>
        <d v="2025-07-11T04:47:54"/>
      </sharedItems>
      <fieldGroup par="13" base="1">
        <rangePr groupBy="days" startDate="2025-04-24T14:20:54" endDate="2025-10-16T12:55:54"/>
        <groupItems count="368">
          <s v="&lt;24/04/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0/2025"/>
        </groupItems>
      </fieldGroup>
    </cacheField>
    <cacheField name="user_id" numFmtId="0">
      <sharedItems/>
    </cacheField>
    <cacheField name="age" numFmtId="0">
      <sharedItems containsSemiMixedTypes="0" containsString="0" containsNumber="1" containsInteger="1" minValue="16" maxValue="69"/>
    </cacheField>
    <cacheField name="gender" numFmtId="0">
      <sharedItems count="3">
        <s v="Male"/>
        <s v="Female"/>
        <s v="Other"/>
      </sharedItems>
    </cacheField>
    <cacheField name="activity_type" numFmtId="0">
      <sharedItems count="7">
        <s v="Cycling"/>
        <s v="Strength Training"/>
        <s v="Swimming"/>
        <s v="Yoga"/>
        <s v="HIIT"/>
        <s v="Walking"/>
        <s v="Running"/>
      </sharedItems>
    </cacheField>
    <cacheField name="duration_min" numFmtId="0">
      <sharedItems containsSemiMixedTypes="0" containsString="0" containsNumber="1" containsInteger="1" minValue="5" maxValue="119"/>
    </cacheField>
    <cacheField name="calories_burned" numFmtId="0">
      <sharedItems containsSemiMixedTypes="0" containsString="0" containsNumber="1" containsInteger="1" minValue="50" maxValue="585"/>
    </cacheField>
    <cacheField name="heart_rate_avg" numFmtId="0">
      <sharedItems containsSemiMixedTypes="0" containsString="0" containsNumber="1" containsInteger="1" minValue="60" maxValue="179"/>
    </cacheField>
    <cacheField name="steps" numFmtId="0">
      <sharedItems containsSemiMixedTypes="0" containsString="0" containsNumber="1" containsInteger="1" minValue="370" maxValue="24984"/>
    </cacheField>
    <cacheField name="sleep_hours" numFmtId="0">
      <sharedItems containsSemiMixedTypes="0" containsString="0" containsNumber="1" minValue="3" maxValue="9.5"/>
    </cacheField>
    <cacheField name="weight_kg" numFmtId="0">
      <sharedItems containsSemiMixedTypes="0" containsString="0" containsNumber="1" minValue="35.299999999999997" maxValue="105.2"/>
    </cacheField>
    <cacheField name="age_group" numFmtId="0">
      <sharedItems count="3">
        <s v="Middle age"/>
        <s v="Senior"/>
        <s v="Young"/>
      </sharedItems>
    </cacheField>
    <cacheField name="Months" numFmtId="0" databaseField="0">
      <fieldGroup base="1">
        <rangePr groupBy="months" startDate="2025-04-24T14:20:54" endDate="2025-10-16T12:55:54"/>
        <groupItems count="14">
          <s v="&lt;24/04/2025"/>
          <s v="Jan"/>
          <s v="Feb"/>
          <s v="Mar"/>
          <s v="Apr"/>
          <s v="May"/>
          <s v="Jun"/>
          <s v="Jul"/>
          <s v="Aug"/>
          <s v="Sep"/>
          <s v="Oct"/>
          <s v="Nov"/>
          <s v="Dec"/>
          <s v="&gt;16/10/2025"/>
        </groupItems>
      </fieldGroup>
    </cacheField>
  </cacheFields>
  <extLst>
    <ext xmlns:x14="http://schemas.microsoft.com/office/spreadsheetml/2009/9/main" uri="{725AE2AE-9491-48be-B2B4-4EB974FC3084}">
      <x14:pivotCacheDefinition pivotCacheId="405708338"/>
    </ext>
  </extLst>
</pivotCacheDefinition>
</file>

<file path=xl/pivotCache/pivotCacheRecords1.xml><?xml version="1.0" encoding="utf-8"?>
<pivotCacheRecords xmlns="http://schemas.openxmlformats.org/spreadsheetml/2006/main" xmlns:r="http://schemas.openxmlformats.org/officeDocument/2006/relationships" count="200">
  <r>
    <n v="1"/>
    <x v="0"/>
    <s v="U026"/>
    <n v="67"/>
    <x v="0"/>
    <x v="0"/>
    <n v="7"/>
    <n v="322"/>
    <n v="175"/>
    <n v="3591"/>
    <n v="7"/>
    <n v="84.3"/>
    <x v="0"/>
  </r>
  <r>
    <n v="2"/>
    <x v="1"/>
    <s v="U039"/>
    <n v="16"/>
    <x v="1"/>
    <x v="1"/>
    <n v="83"/>
    <n v="265"/>
    <n v="113"/>
    <n v="22312"/>
    <n v="5.7"/>
    <n v="79.599999999999994"/>
    <x v="0"/>
  </r>
  <r>
    <n v="3"/>
    <x v="2"/>
    <s v="U046"/>
    <n v="62"/>
    <x v="1"/>
    <x v="0"/>
    <n v="118"/>
    <n v="508"/>
    <n v="98"/>
    <n v="5418"/>
    <n v="6.6"/>
    <n v="88.3"/>
    <x v="1"/>
  </r>
  <r>
    <n v="4"/>
    <x v="3"/>
    <s v="U048"/>
    <n v="56"/>
    <x v="1"/>
    <x v="2"/>
    <n v="75"/>
    <n v="270"/>
    <n v="150"/>
    <n v="19809"/>
    <n v="7.9"/>
    <n v="69"/>
    <x v="0"/>
  </r>
  <r>
    <n v="5"/>
    <x v="4"/>
    <s v="U042"/>
    <n v="42"/>
    <x v="2"/>
    <x v="3"/>
    <n v="76"/>
    <n v="308"/>
    <n v="141"/>
    <n v="12562"/>
    <n v="5"/>
    <n v="61.6"/>
    <x v="1"/>
  </r>
  <r>
    <n v="6"/>
    <x v="5"/>
    <s v="U005"/>
    <n v="39"/>
    <x v="1"/>
    <x v="4"/>
    <n v="50"/>
    <n v="471"/>
    <n v="163"/>
    <n v="23432"/>
    <n v="7.4"/>
    <n v="98.7"/>
    <x v="2"/>
  </r>
  <r>
    <n v="7"/>
    <x v="6"/>
    <s v="U030"/>
    <n v="61"/>
    <x v="2"/>
    <x v="5"/>
    <n v="88"/>
    <n v="238"/>
    <n v="78"/>
    <n v="14851"/>
    <n v="6.8"/>
    <n v="61.8"/>
    <x v="1"/>
  </r>
  <r>
    <n v="8"/>
    <x v="7"/>
    <s v="U014"/>
    <n v="46"/>
    <x v="1"/>
    <x v="3"/>
    <n v="39"/>
    <n v="133"/>
    <n v="179"/>
    <n v="15351"/>
    <n v="4.5"/>
    <n v="46"/>
    <x v="0"/>
  </r>
  <r>
    <n v="9"/>
    <x v="8"/>
    <s v="U036"/>
    <n v="63"/>
    <x v="0"/>
    <x v="2"/>
    <n v="10"/>
    <n v="500"/>
    <n v="82"/>
    <n v="13072"/>
    <n v="4.7"/>
    <n v="72.599999999999994"/>
    <x v="0"/>
  </r>
  <r>
    <n v="10"/>
    <x v="9"/>
    <s v="U019"/>
    <n v="27"/>
    <x v="2"/>
    <x v="2"/>
    <n v="100"/>
    <n v="210"/>
    <n v="165"/>
    <n v="22439"/>
    <n v="6.3"/>
    <n v="73.7"/>
    <x v="0"/>
  </r>
  <r>
    <n v="11"/>
    <x v="10"/>
    <s v="U013"/>
    <n v="58"/>
    <x v="2"/>
    <x v="5"/>
    <n v="16"/>
    <n v="256"/>
    <n v="73"/>
    <n v="16338"/>
    <n v="7.3"/>
    <n v="69.400000000000006"/>
    <x v="0"/>
  </r>
  <r>
    <n v="12"/>
    <x v="11"/>
    <s v="U034"/>
    <n v="52"/>
    <x v="0"/>
    <x v="3"/>
    <n v="49"/>
    <n v="376"/>
    <n v="102"/>
    <n v="11601"/>
    <n v="9.1999999999999993"/>
    <n v="82.3"/>
    <x v="0"/>
  </r>
  <r>
    <n v="13"/>
    <x v="12"/>
    <s v="U035"/>
    <n v="39"/>
    <x v="1"/>
    <x v="2"/>
    <n v="74"/>
    <n v="293"/>
    <n v="172"/>
    <n v="24435"/>
    <n v="3.2"/>
    <n v="72.7"/>
    <x v="0"/>
  </r>
  <r>
    <n v="14"/>
    <x v="13"/>
    <s v="U041"/>
    <n v="46"/>
    <x v="1"/>
    <x v="3"/>
    <n v="54"/>
    <n v="563"/>
    <n v="115"/>
    <n v="24409"/>
    <n v="6.7"/>
    <n v="64.599999999999994"/>
    <x v="1"/>
  </r>
  <r>
    <n v="15"/>
    <x v="14"/>
    <s v="U032"/>
    <n v="42"/>
    <x v="2"/>
    <x v="4"/>
    <n v="33"/>
    <n v="452"/>
    <n v="85"/>
    <n v="18362"/>
    <n v="3.5"/>
    <n v="37.200000000000003"/>
    <x v="1"/>
  </r>
  <r>
    <n v="16"/>
    <x v="15"/>
    <s v="U031"/>
    <n v="39"/>
    <x v="2"/>
    <x v="3"/>
    <n v="36"/>
    <n v="345"/>
    <n v="74"/>
    <n v="19487"/>
    <n v="8.4"/>
    <n v="58"/>
    <x v="1"/>
  </r>
  <r>
    <n v="17"/>
    <x v="16"/>
    <s v="U015"/>
    <n v="42"/>
    <x v="0"/>
    <x v="3"/>
    <n v="92"/>
    <n v="158"/>
    <n v="160"/>
    <n v="15425"/>
    <n v="3.3"/>
    <n v="55"/>
    <x v="0"/>
  </r>
  <r>
    <n v="18"/>
    <x v="17"/>
    <s v="U018"/>
    <n v="55"/>
    <x v="1"/>
    <x v="0"/>
    <n v="11"/>
    <n v="420"/>
    <n v="109"/>
    <n v="11349"/>
    <n v="3"/>
    <n v="62.1"/>
    <x v="2"/>
  </r>
  <r>
    <n v="19"/>
    <x v="18"/>
    <s v="U050"/>
    <n v="68"/>
    <x v="1"/>
    <x v="3"/>
    <n v="119"/>
    <n v="287"/>
    <n v="172"/>
    <n v="18498"/>
    <n v="3.3"/>
    <n v="84.4"/>
    <x v="0"/>
  </r>
  <r>
    <n v="20"/>
    <x v="19"/>
    <s v="U050"/>
    <n v="58"/>
    <x v="1"/>
    <x v="4"/>
    <n v="12"/>
    <n v="152"/>
    <n v="107"/>
    <n v="10048"/>
    <n v="9.4"/>
    <n v="104.6"/>
    <x v="0"/>
  </r>
  <r>
    <n v="21"/>
    <x v="20"/>
    <s v="U043"/>
    <n v="31"/>
    <x v="2"/>
    <x v="2"/>
    <n v="6"/>
    <n v="416"/>
    <n v="102"/>
    <n v="7594"/>
    <n v="7.8"/>
    <n v="97.6"/>
    <x v="1"/>
  </r>
  <r>
    <n v="22"/>
    <x v="21"/>
    <s v="U039"/>
    <n v="19"/>
    <x v="0"/>
    <x v="6"/>
    <n v="68"/>
    <n v="244"/>
    <n v="102"/>
    <n v="21253"/>
    <n v="6.7"/>
    <n v="55.4"/>
    <x v="0"/>
  </r>
  <r>
    <n v="23"/>
    <x v="22"/>
    <s v="U005"/>
    <n v="53"/>
    <x v="0"/>
    <x v="4"/>
    <n v="116"/>
    <n v="151"/>
    <n v="79"/>
    <n v="23062"/>
    <n v="5.9"/>
    <n v="73.3"/>
    <x v="0"/>
  </r>
  <r>
    <n v="24"/>
    <x v="23"/>
    <s v="U044"/>
    <n v="51"/>
    <x v="0"/>
    <x v="1"/>
    <n v="11"/>
    <n v="134"/>
    <n v="118"/>
    <n v="15191"/>
    <n v="7.7"/>
    <n v="91.4"/>
    <x v="2"/>
  </r>
  <r>
    <n v="25"/>
    <x v="24"/>
    <s v="U020"/>
    <n v="69"/>
    <x v="0"/>
    <x v="0"/>
    <n v="9"/>
    <n v="108"/>
    <n v="74"/>
    <n v="24095"/>
    <n v="5.8"/>
    <n v="59.2"/>
    <x v="1"/>
  </r>
  <r>
    <n v="26"/>
    <x v="25"/>
    <s v="U039"/>
    <n v="45"/>
    <x v="1"/>
    <x v="4"/>
    <n v="44"/>
    <n v="308"/>
    <n v="111"/>
    <n v="13514"/>
    <n v="9"/>
    <n v="70"/>
    <x v="0"/>
  </r>
  <r>
    <n v="27"/>
    <x v="26"/>
    <s v="U042"/>
    <n v="38"/>
    <x v="2"/>
    <x v="3"/>
    <n v="12"/>
    <n v="50"/>
    <n v="152"/>
    <n v="22404"/>
    <n v="4.5"/>
    <n v="75.7"/>
    <x v="2"/>
  </r>
  <r>
    <n v="28"/>
    <x v="27"/>
    <s v="U010"/>
    <n v="27"/>
    <x v="2"/>
    <x v="1"/>
    <n v="54"/>
    <n v="50"/>
    <n v="128"/>
    <n v="2971"/>
    <n v="3.2"/>
    <n v="81.599999999999994"/>
    <x v="2"/>
  </r>
  <r>
    <n v="29"/>
    <x v="28"/>
    <s v="U008"/>
    <n v="61"/>
    <x v="1"/>
    <x v="2"/>
    <n v="90"/>
    <n v="146"/>
    <n v="126"/>
    <n v="18805"/>
    <n v="8.1999999999999993"/>
    <n v="70.5"/>
    <x v="0"/>
  </r>
  <r>
    <n v="30"/>
    <x v="29"/>
    <s v="U036"/>
    <n v="37"/>
    <x v="1"/>
    <x v="4"/>
    <n v="102"/>
    <n v="354"/>
    <n v="90"/>
    <n v="2868"/>
    <n v="9.1"/>
    <n v="68.7"/>
    <x v="1"/>
  </r>
  <r>
    <n v="31"/>
    <x v="30"/>
    <s v="U011"/>
    <n v="18"/>
    <x v="2"/>
    <x v="4"/>
    <n v="18"/>
    <n v="278"/>
    <n v="151"/>
    <n v="12665"/>
    <n v="3.8"/>
    <n v="37.6"/>
    <x v="1"/>
  </r>
  <r>
    <n v="32"/>
    <x v="31"/>
    <s v="U026"/>
    <n v="28"/>
    <x v="1"/>
    <x v="5"/>
    <n v="85"/>
    <n v="211"/>
    <n v="138"/>
    <n v="17304"/>
    <n v="8.9"/>
    <n v="82.6"/>
    <x v="2"/>
  </r>
  <r>
    <n v="33"/>
    <x v="32"/>
    <s v="U003"/>
    <n v="42"/>
    <x v="1"/>
    <x v="3"/>
    <n v="69"/>
    <n v="368"/>
    <n v="104"/>
    <n v="3733"/>
    <n v="5.4"/>
    <n v="73.400000000000006"/>
    <x v="1"/>
  </r>
  <r>
    <n v="34"/>
    <x v="33"/>
    <s v="U028"/>
    <n v="66"/>
    <x v="1"/>
    <x v="5"/>
    <n v="92"/>
    <n v="405"/>
    <n v="70"/>
    <n v="6276"/>
    <n v="7.5"/>
    <n v="72"/>
    <x v="1"/>
  </r>
  <r>
    <n v="35"/>
    <x v="34"/>
    <s v="U046"/>
    <n v="66"/>
    <x v="1"/>
    <x v="3"/>
    <n v="39"/>
    <n v="205"/>
    <n v="115"/>
    <n v="15363"/>
    <n v="7.2"/>
    <n v="70.7"/>
    <x v="2"/>
  </r>
  <r>
    <n v="36"/>
    <x v="35"/>
    <s v="U011"/>
    <n v="19"/>
    <x v="2"/>
    <x v="5"/>
    <n v="36"/>
    <n v="50"/>
    <n v="117"/>
    <n v="13377"/>
    <n v="8.9"/>
    <n v="94.3"/>
    <x v="1"/>
  </r>
  <r>
    <n v="37"/>
    <x v="36"/>
    <s v="U019"/>
    <n v="66"/>
    <x v="1"/>
    <x v="5"/>
    <n v="88"/>
    <n v="476"/>
    <n v="163"/>
    <n v="19495"/>
    <n v="8.9"/>
    <n v="78.7"/>
    <x v="0"/>
  </r>
  <r>
    <n v="38"/>
    <x v="37"/>
    <s v="U023"/>
    <n v="63"/>
    <x v="2"/>
    <x v="4"/>
    <n v="109"/>
    <n v="50"/>
    <n v="179"/>
    <n v="13263"/>
    <n v="3.6"/>
    <n v="71.3"/>
    <x v="0"/>
  </r>
  <r>
    <n v="39"/>
    <x v="38"/>
    <s v="U024"/>
    <n v="16"/>
    <x v="2"/>
    <x v="6"/>
    <n v="45"/>
    <n v="337"/>
    <n v="63"/>
    <n v="14571"/>
    <n v="3.4"/>
    <n v="56.4"/>
    <x v="0"/>
  </r>
  <r>
    <n v="40"/>
    <x v="39"/>
    <s v="U031"/>
    <n v="66"/>
    <x v="0"/>
    <x v="2"/>
    <n v="96"/>
    <n v="367"/>
    <n v="170"/>
    <n v="7481"/>
    <n v="3.1"/>
    <n v="66.7"/>
    <x v="2"/>
  </r>
  <r>
    <n v="41"/>
    <x v="40"/>
    <s v="U006"/>
    <n v="49"/>
    <x v="2"/>
    <x v="4"/>
    <n v="51"/>
    <n v="208"/>
    <n v="83"/>
    <n v="14060"/>
    <n v="8.1"/>
    <n v="92.9"/>
    <x v="0"/>
  </r>
  <r>
    <n v="42"/>
    <x v="41"/>
    <s v="U010"/>
    <n v="52"/>
    <x v="1"/>
    <x v="3"/>
    <n v="98"/>
    <n v="432"/>
    <n v="165"/>
    <n v="14201"/>
    <n v="8.1"/>
    <n v="63"/>
    <x v="1"/>
  </r>
  <r>
    <n v="43"/>
    <x v="42"/>
    <s v="U045"/>
    <n v="32"/>
    <x v="0"/>
    <x v="1"/>
    <n v="40"/>
    <n v="392"/>
    <n v="94"/>
    <n v="9614"/>
    <n v="9.1"/>
    <n v="46.1"/>
    <x v="1"/>
  </r>
  <r>
    <n v="44"/>
    <x v="43"/>
    <s v="U045"/>
    <n v="20"/>
    <x v="2"/>
    <x v="4"/>
    <n v="95"/>
    <n v="460"/>
    <n v="77"/>
    <n v="12186"/>
    <n v="8.5"/>
    <n v="68.099999999999994"/>
    <x v="0"/>
  </r>
  <r>
    <n v="45"/>
    <x v="44"/>
    <s v="U006"/>
    <n v="36"/>
    <x v="0"/>
    <x v="5"/>
    <n v="79"/>
    <n v="530"/>
    <n v="127"/>
    <n v="5597"/>
    <n v="6.8"/>
    <n v="77.3"/>
    <x v="2"/>
  </r>
  <r>
    <n v="46"/>
    <x v="45"/>
    <s v="U047"/>
    <n v="56"/>
    <x v="1"/>
    <x v="6"/>
    <n v="34"/>
    <n v="269"/>
    <n v="140"/>
    <n v="12383"/>
    <n v="6.8"/>
    <n v="51.7"/>
    <x v="0"/>
  </r>
  <r>
    <n v="47"/>
    <x v="46"/>
    <s v="U025"/>
    <n v="62"/>
    <x v="0"/>
    <x v="2"/>
    <n v="67"/>
    <n v="230"/>
    <n v="93"/>
    <n v="24968"/>
    <n v="4.8"/>
    <n v="66.599999999999994"/>
    <x v="2"/>
  </r>
  <r>
    <n v="48"/>
    <x v="47"/>
    <s v="U002"/>
    <n v="46"/>
    <x v="0"/>
    <x v="0"/>
    <n v="24"/>
    <n v="330"/>
    <n v="134"/>
    <n v="14863"/>
    <n v="3.9"/>
    <n v="85"/>
    <x v="1"/>
  </r>
  <r>
    <n v="49"/>
    <x v="48"/>
    <s v="U013"/>
    <n v="17"/>
    <x v="0"/>
    <x v="6"/>
    <n v="21"/>
    <n v="545"/>
    <n v="173"/>
    <n v="5906"/>
    <n v="5.2"/>
    <n v="76.400000000000006"/>
    <x v="1"/>
  </r>
  <r>
    <n v="50"/>
    <x v="49"/>
    <s v="U023"/>
    <n v="49"/>
    <x v="0"/>
    <x v="2"/>
    <n v="62"/>
    <n v="322"/>
    <n v="121"/>
    <n v="19652"/>
    <n v="9.4"/>
    <n v="61.7"/>
    <x v="0"/>
  </r>
  <r>
    <n v="51"/>
    <x v="50"/>
    <s v="U038"/>
    <n v="27"/>
    <x v="2"/>
    <x v="2"/>
    <n v="105"/>
    <n v="389"/>
    <n v="68"/>
    <n v="17788"/>
    <n v="3.7"/>
    <n v="84.5"/>
    <x v="0"/>
  </r>
  <r>
    <n v="52"/>
    <x v="51"/>
    <s v="U014"/>
    <n v="66"/>
    <x v="0"/>
    <x v="4"/>
    <n v="71"/>
    <n v="394"/>
    <n v="131"/>
    <n v="10145"/>
    <n v="5.7"/>
    <n v="41.5"/>
    <x v="1"/>
  </r>
  <r>
    <n v="53"/>
    <x v="52"/>
    <s v="U046"/>
    <n v="64"/>
    <x v="0"/>
    <x v="6"/>
    <n v="45"/>
    <n v="84"/>
    <n v="108"/>
    <n v="8434"/>
    <n v="4.5999999999999996"/>
    <n v="77.3"/>
    <x v="0"/>
  </r>
  <r>
    <n v="54"/>
    <x v="53"/>
    <s v="U023"/>
    <n v="40"/>
    <x v="1"/>
    <x v="3"/>
    <n v="38"/>
    <n v="401"/>
    <n v="167"/>
    <n v="6688"/>
    <n v="5.8"/>
    <n v="65.900000000000006"/>
    <x v="0"/>
  </r>
  <r>
    <n v="55"/>
    <x v="54"/>
    <s v="U049"/>
    <n v="42"/>
    <x v="2"/>
    <x v="2"/>
    <n v="119"/>
    <n v="390"/>
    <n v="145"/>
    <n v="18641"/>
    <n v="8.6999999999999993"/>
    <n v="85.3"/>
    <x v="0"/>
  </r>
  <r>
    <n v="56"/>
    <x v="55"/>
    <s v="U035"/>
    <n v="60"/>
    <x v="0"/>
    <x v="1"/>
    <n v="29"/>
    <n v="504"/>
    <n v="100"/>
    <n v="20785"/>
    <n v="3"/>
    <n v="74.7"/>
    <x v="0"/>
  </r>
  <r>
    <n v="57"/>
    <x v="56"/>
    <s v="U018"/>
    <n v="37"/>
    <x v="0"/>
    <x v="6"/>
    <n v="50"/>
    <n v="461"/>
    <n v="61"/>
    <n v="14982"/>
    <n v="5.8"/>
    <n v="105.2"/>
    <x v="0"/>
  </r>
  <r>
    <n v="58"/>
    <x v="57"/>
    <s v="U019"/>
    <n v="43"/>
    <x v="2"/>
    <x v="0"/>
    <n v="41"/>
    <n v="306"/>
    <n v="85"/>
    <n v="23231"/>
    <n v="8.8000000000000007"/>
    <n v="83.5"/>
    <x v="0"/>
  </r>
  <r>
    <n v="59"/>
    <x v="58"/>
    <s v="U005"/>
    <n v="42"/>
    <x v="1"/>
    <x v="3"/>
    <n v="68"/>
    <n v="406"/>
    <n v="61"/>
    <n v="1267"/>
    <n v="4.0999999999999996"/>
    <n v="42.7"/>
    <x v="0"/>
  </r>
  <r>
    <n v="60"/>
    <x v="59"/>
    <s v="U026"/>
    <n v="50"/>
    <x v="1"/>
    <x v="1"/>
    <n v="69"/>
    <n v="366"/>
    <n v="157"/>
    <n v="17523"/>
    <n v="9"/>
    <n v="83.2"/>
    <x v="0"/>
  </r>
  <r>
    <n v="61"/>
    <x v="60"/>
    <s v="U020"/>
    <n v="54"/>
    <x v="0"/>
    <x v="6"/>
    <n v="42"/>
    <n v="225"/>
    <n v="138"/>
    <n v="18315"/>
    <n v="7.6"/>
    <n v="78.900000000000006"/>
    <x v="2"/>
  </r>
  <r>
    <n v="62"/>
    <x v="61"/>
    <s v="U035"/>
    <n v="43"/>
    <x v="1"/>
    <x v="2"/>
    <n v="102"/>
    <n v="289"/>
    <n v="121"/>
    <n v="14515"/>
    <n v="3.3"/>
    <n v="64.5"/>
    <x v="1"/>
  </r>
  <r>
    <n v="63"/>
    <x v="62"/>
    <s v="U033"/>
    <n v="42"/>
    <x v="0"/>
    <x v="5"/>
    <n v="78"/>
    <n v="194"/>
    <n v="88"/>
    <n v="1872"/>
    <n v="3.2"/>
    <n v="77.599999999999994"/>
    <x v="1"/>
  </r>
  <r>
    <n v="64"/>
    <x v="63"/>
    <s v="U002"/>
    <n v="54"/>
    <x v="1"/>
    <x v="1"/>
    <n v="66"/>
    <n v="387"/>
    <n v="89"/>
    <n v="12521"/>
    <n v="6.5"/>
    <n v="58"/>
    <x v="1"/>
  </r>
  <r>
    <n v="65"/>
    <x v="64"/>
    <s v="U034"/>
    <n v="20"/>
    <x v="0"/>
    <x v="0"/>
    <n v="29"/>
    <n v="226"/>
    <n v="85"/>
    <n v="6060"/>
    <n v="6.8"/>
    <n v="68.5"/>
    <x v="0"/>
  </r>
  <r>
    <n v="66"/>
    <x v="65"/>
    <s v="U030"/>
    <n v="60"/>
    <x v="1"/>
    <x v="6"/>
    <n v="119"/>
    <n v="353"/>
    <n v="165"/>
    <n v="1281"/>
    <n v="9.4"/>
    <n v="78.8"/>
    <x v="0"/>
  </r>
  <r>
    <n v="67"/>
    <x v="66"/>
    <s v="U048"/>
    <n v="68"/>
    <x v="0"/>
    <x v="3"/>
    <n v="81"/>
    <n v="426"/>
    <n v="159"/>
    <n v="370"/>
    <n v="5.0999999999999996"/>
    <n v="87.5"/>
    <x v="0"/>
  </r>
  <r>
    <n v="68"/>
    <x v="67"/>
    <s v="U001"/>
    <n v="63"/>
    <x v="2"/>
    <x v="0"/>
    <n v="38"/>
    <n v="120"/>
    <n v="76"/>
    <n v="16779"/>
    <n v="8.5"/>
    <n v="80.400000000000006"/>
    <x v="1"/>
  </r>
  <r>
    <n v="69"/>
    <x v="68"/>
    <s v="U025"/>
    <n v="36"/>
    <x v="1"/>
    <x v="6"/>
    <n v="117"/>
    <n v="389"/>
    <n v="142"/>
    <n v="721"/>
    <n v="6.5"/>
    <n v="75.099999999999994"/>
    <x v="1"/>
  </r>
  <r>
    <n v="70"/>
    <x v="69"/>
    <s v="U002"/>
    <n v="51"/>
    <x v="1"/>
    <x v="4"/>
    <n v="13"/>
    <n v="192"/>
    <n v="62"/>
    <n v="15423"/>
    <n v="3.3"/>
    <n v="102.3"/>
    <x v="0"/>
  </r>
  <r>
    <n v="71"/>
    <x v="70"/>
    <s v="U039"/>
    <n v="32"/>
    <x v="2"/>
    <x v="1"/>
    <n v="83"/>
    <n v="330"/>
    <n v="168"/>
    <n v="8432"/>
    <n v="6.3"/>
    <n v="53.7"/>
    <x v="0"/>
  </r>
  <r>
    <n v="72"/>
    <x v="71"/>
    <s v="U035"/>
    <n v="60"/>
    <x v="1"/>
    <x v="2"/>
    <n v="116"/>
    <n v="433"/>
    <n v="95"/>
    <n v="16232"/>
    <n v="6.8"/>
    <n v="78.099999999999994"/>
    <x v="0"/>
  </r>
  <r>
    <n v="73"/>
    <x v="72"/>
    <s v="U007"/>
    <n v="60"/>
    <x v="0"/>
    <x v="2"/>
    <n v="73"/>
    <n v="224"/>
    <n v="128"/>
    <n v="22440"/>
    <n v="3.6"/>
    <n v="54.8"/>
    <x v="0"/>
  </r>
  <r>
    <n v="74"/>
    <x v="73"/>
    <s v="U045"/>
    <n v="37"/>
    <x v="1"/>
    <x v="2"/>
    <n v="112"/>
    <n v="188"/>
    <n v="102"/>
    <n v="20883"/>
    <n v="4.8"/>
    <n v="82.7"/>
    <x v="0"/>
  </r>
  <r>
    <n v="75"/>
    <x v="74"/>
    <s v="U030"/>
    <n v="44"/>
    <x v="1"/>
    <x v="3"/>
    <n v="19"/>
    <n v="224"/>
    <n v="158"/>
    <n v="15358"/>
    <n v="6.3"/>
    <n v="53.5"/>
    <x v="0"/>
  </r>
  <r>
    <n v="76"/>
    <x v="75"/>
    <s v="U015"/>
    <n v="50"/>
    <x v="0"/>
    <x v="6"/>
    <n v="10"/>
    <n v="427"/>
    <n v="145"/>
    <n v="22113"/>
    <n v="4.3"/>
    <n v="68.8"/>
    <x v="1"/>
  </r>
  <r>
    <n v="77"/>
    <x v="76"/>
    <s v="U026"/>
    <n v="51"/>
    <x v="0"/>
    <x v="6"/>
    <n v="97"/>
    <n v="169"/>
    <n v="144"/>
    <n v="10749"/>
    <n v="7.2"/>
    <n v="67.3"/>
    <x v="1"/>
  </r>
  <r>
    <n v="78"/>
    <x v="77"/>
    <s v="U008"/>
    <n v="31"/>
    <x v="1"/>
    <x v="6"/>
    <n v="70"/>
    <n v="390"/>
    <n v="78"/>
    <n v="17861"/>
    <n v="3.9"/>
    <n v="78.599999999999994"/>
    <x v="1"/>
  </r>
  <r>
    <n v="79"/>
    <x v="78"/>
    <s v="U041"/>
    <n v="47"/>
    <x v="0"/>
    <x v="4"/>
    <n v="23"/>
    <n v="443"/>
    <n v="108"/>
    <n v="11255"/>
    <n v="9.4"/>
    <n v="74.8"/>
    <x v="0"/>
  </r>
  <r>
    <n v="80"/>
    <x v="79"/>
    <s v="U049"/>
    <n v="58"/>
    <x v="2"/>
    <x v="6"/>
    <n v="99"/>
    <n v="167"/>
    <n v="178"/>
    <n v="20214"/>
    <n v="8.8000000000000007"/>
    <n v="66.5"/>
    <x v="0"/>
  </r>
  <r>
    <n v="81"/>
    <x v="80"/>
    <s v="U049"/>
    <n v="68"/>
    <x v="0"/>
    <x v="0"/>
    <n v="91"/>
    <n v="370"/>
    <n v="121"/>
    <n v="16206"/>
    <n v="9.1999999999999993"/>
    <n v="84.2"/>
    <x v="0"/>
  </r>
  <r>
    <n v="82"/>
    <x v="81"/>
    <s v="U030"/>
    <n v="55"/>
    <x v="2"/>
    <x v="5"/>
    <n v="68"/>
    <n v="431"/>
    <n v="137"/>
    <n v="16443"/>
    <n v="3"/>
    <n v="76.3"/>
    <x v="2"/>
  </r>
  <r>
    <n v="83"/>
    <x v="82"/>
    <s v="U013"/>
    <n v="38"/>
    <x v="0"/>
    <x v="4"/>
    <n v="95"/>
    <n v="124"/>
    <n v="105"/>
    <n v="18334"/>
    <n v="4.3"/>
    <n v="51.3"/>
    <x v="1"/>
  </r>
  <r>
    <n v="84"/>
    <x v="83"/>
    <s v="U001"/>
    <n v="48"/>
    <x v="1"/>
    <x v="5"/>
    <n v="25"/>
    <n v="341"/>
    <n v="88"/>
    <n v="16892"/>
    <n v="8.6999999999999993"/>
    <n v="61.8"/>
    <x v="2"/>
  </r>
  <r>
    <n v="85"/>
    <x v="84"/>
    <s v="U021"/>
    <n v="34"/>
    <x v="1"/>
    <x v="4"/>
    <n v="16"/>
    <n v="317"/>
    <n v="167"/>
    <n v="21514"/>
    <n v="8.1999999999999993"/>
    <n v="82.2"/>
    <x v="1"/>
  </r>
  <r>
    <n v="86"/>
    <x v="85"/>
    <s v="U011"/>
    <n v="19"/>
    <x v="2"/>
    <x v="5"/>
    <n v="33"/>
    <n v="125"/>
    <n v="143"/>
    <n v="21400"/>
    <n v="5.7"/>
    <n v="61"/>
    <x v="0"/>
  </r>
  <r>
    <n v="87"/>
    <x v="86"/>
    <s v="U035"/>
    <n v="58"/>
    <x v="0"/>
    <x v="3"/>
    <n v="20"/>
    <n v="292"/>
    <n v="136"/>
    <n v="23482"/>
    <n v="4.2"/>
    <n v="70.3"/>
    <x v="0"/>
  </r>
  <r>
    <n v="88"/>
    <x v="87"/>
    <s v="U046"/>
    <n v="22"/>
    <x v="2"/>
    <x v="5"/>
    <n v="42"/>
    <n v="351"/>
    <n v="66"/>
    <n v="10128"/>
    <n v="7.9"/>
    <n v="80"/>
    <x v="0"/>
  </r>
  <r>
    <n v="89"/>
    <x v="88"/>
    <s v="U025"/>
    <n v="62"/>
    <x v="2"/>
    <x v="0"/>
    <n v="21"/>
    <n v="345"/>
    <n v="62"/>
    <n v="15211"/>
    <n v="4.3"/>
    <n v="51.9"/>
    <x v="1"/>
  </r>
  <r>
    <n v="90"/>
    <x v="89"/>
    <s v="U042"/>
    <n v="47"/>
    <x v="1"/>
    <x v="5"/>
    <n v="46"/>
    <n v="427"/>
    <n v="80"/>
    <n v="18973"/>
    <n v="7.7"/>
    <n v="49"/>
    <x v="2"/>
  </r>
  <r>
    <n v="91"/>
    <x v="90"/>
    <s v="U025"/>
    <n v="49"/>
    <x v="1"/>
    <x v="2"/>
    <n v="104"/>
    <n v="313"/>
    <n v="100"/>
    <n v="15990"/>
    <n v="6.5"/>
    <n v="73.3"/>
    <x v="1"/>
  </r>
  <r>
    <n v="92"/>
    <x v="91"/>
    <s v="U004"/>
    <n v="31"/>
    <x v="0"/>
    <x v="3"/>
    <n v="11"/>
    <n v="272"/>
    <n v="119"/>
    <n v="18301"/>
    <n v="3.7"/>
    <n v="67.400000000000006"/>
    <x v="1"/>
  </r>
  <r>
    <n v="93"/>
    <x v="92"/>
    <s v="U017"/>
    <n v="63"/>
    <x v="1"/>
    <x v="3"/>
    <n v="108"/>
    <n v="369"/>
    <n v="165"/>
    <n v="24789"/>
    <n v="5.4"/>
    <n v="73.400000000000006"/>
    <x v="2"/>
  </r>
  <r>
    <n v="94"/>
    <x v="93"/>
    <s v="U050"/>
    <n v="23"/>
    <x v="2"/>
    <x v="2"/>
    <n v="5"/>
    <n v="376"/>
    <n v="89"/>
    <n v="13162"/>
    <n v="8.4"/>
    <n v="88.1"/>
    <x v="2"/>
  </r>
  <r>
    <n v="95"/>
    <x v="94"/>
    <s v="U003"/>
    <n v="66"/>
    <x v="1"/>
    <x v="3"/>
    <n v="108"/>
    <n v="206"/>
    <n v="63"/>
    <n v="20934"/>
    <n v="6.6"/>
    <n v="74.2"/>
    <x v="1"/>
  </r>
  <r>
    <n v="96"/>
    <x v="95"/>
    <s v="U044"/>
    <n v="59"/>
    <x v="1"/>
    <x v="1"/>
    <n v="79"/>
    <n v="344"/>
    <n v="118"/>
    <n v="5935"/>
    <n v="8.9"/>
    <n v="69.599999999999994"/>
    <x v="0"/>
  </r>
  <r>
    <n v="97"/>
    <x v="96"/>
    <s v="U004"/>
    <n v="27"/>
    <x v="1"/>
    <x v="2"/>
    <n v="42"/>
    <n v="50"/>
    <n v="177"/>
    <n v="9637"/>
    <n v="7.7"/>
    <n v="56.4"/>
    <x v="2"/>
  </r>
  <r>
    <n v="98"/>
    <x v="97"/>
    <s v="U039"/>
    <n v="25"/>
    <x v="0"/>
    <x v="0"/>
    <n v="70"/>
    <n v="50"/>
    <n v="62"/>
    <n v="21683"/>
    <n v="3.3"/>
    <n v="58.2"/>
    <x v="0"/>
  </r>
  <r>
    <n v="99"/>
    <x v="98"/>
    <s v="U048"/>
    <n v="61"/>
    <x v="1"/>
    <x v="4"/>
    <n v="112"/>
    <n v="369"/>
    <n v="99"/>
    <n v="5892"/>
    <n v="8.6999999999999993"/>
    <n v="53.1"/>
    <x v="1"/>
  </r>
  <r>
    <n v="100"/>
    <x v="99"/>
    <s v="U004"/>
    <n v="35"/>
    <x v="2"/>
    <x v="1"/>
    <n v="51"/>
    <n v="74"/>
    <n v="152"/>
    <n v="18995"/>
    <n v="5.0999999999999996"/>
    <n v="35.299999999999997"/>
    <x v="1"/>
  </r>
  <r>
    <n v="101"/>
    <x v="100"/>
    <s v="U006"/>
    <n v="17"/>
    <x v="2"/>
    <x v="3"/>
    <n v="45"/>
    <n v="330"/>
    <n v="157"/>
    <n v="21286"/>
    <n v="6.8"/>
    <n v="63.2"/>
    <x v="0"/>
  </r>
  <r>
    <n v="102"/>
    <x v="101"/>
    <s v="U030"/>
    <n v="34"/>
    <x v="1"/>
    <x v="4"/>
    <n v="87"/>
    <n v="362"/>
    <n v="93"/>
    <n v="10166"/>
    <n v="5.6"/>
    <n v="59"/>
    <x v="0"/>
  </r>
  <r>
    <n v="103"/>
    <x v="102"/>
    <s v="U035"/>
    <n v="56"/>
    <x v="1"/>
    <x v="3"/>
    <n v="64"/>
    <n v="318"/>
    <n v="107"/>
    <n v="19054"/>
    <n v="8.6"/>
    <n v="77.099999999999994"/>
    <x v="2"/>
  </r>
  <r>
    <n v="104"/>
    <x v="103"/>
    <s v="U020"/>
    <n v="67"/>
    <x v="0"/>
    <x v="1"/>
    <n v="14"/>
    <n v="402"/>
    <n v="104"/>
    <n v="4148"/>
    <n v="8.6"/>
    <n v="55"/>
    <x v="2"/>
  </r>
  <r>
    <n v="105"/>
    <x v="104"/>
    <s v="U028"/>
    <n v="34"/>
    <x v="0"/>
    <x v="3"/>
    <n v="76"/>
    <n v="319"/>
    <n v="106"/>
    <n v="5375"/>
    <n v="7.4"/>
    <n v="71.900000000000006"/>
    <x v="2"/>
  </r>
  <r>
    <n v="106"/>
    <x v="105"/>
    <s v="U029"/>
    <n v="41"/>
    <x v="2"/>
    <x v="6"/>
    <n v="65"/>
    <n v="422"/>
    <n v="121"/>
    <n v="19134"/>
    <n v="7.5"/>
    <n v="43.2"/>
    <x v="1"/>
  </r>
  <r>
    <n v="107"/>
    <x v="106"/>
    <s v="U022"/>
    <n v="20"/>
    <x v="0"/>
    <x v="3"/>
    <n v="22"/>
    <n v="313"/>
    <n v="139"/>
    <n v="7286"/>
    <n v="6.1"/>
    <n v="76"/>
    <x v="0"/>
  </r>
  <r>
    <n v="108"/>
    <x v="107"/>
    <s v="U033"/>
    <n v="19"/>
    <x v="2"/>
    <x v="4"/>
    <n v="79"/>
    <n v="567"/>
    <n v="148"/>
    <n v="7565"/>
    <n v="6.4"/>
    <n v="64.3"/>
    <x v="0"/>
  </r>
  <r>
    <n v="109"/>
    <x v="108"/>
    <s v="U029"/>
    <n v="28"/>
    <x v="2"/>
    <x v="5"/>
    <n v="40"/>
    <n v="477"/>
    <n v="98"/>
    <n v="633"/>
    <n v="4.9000000000000004"/>
    <n v="62.9"/>
    <x v="0"/>
  </r>
  <r>
    <n v="110"/>
    <x v="109"/>
    <s v="U003"/>
    <n v="67"/>
    <x v="2"/>
    <x v="1"/>
    <n v="109"/>
    <n v="50"/>
    <n v="97"/>
    <n v="15952"/>
    <n v="5.2"/>
    <n v="73.3"/>
    <x v="0"/>
  </r>
  <r>
    <n v="111"/>
    <x v="110"/>
    <s v="U043"/>
    <n v="51"/>
    <x v="0"/>
    <x v="6"/>
    <n v="47"/>
    <n v="436"/>
    <n v="128"/>
    <n v="14000"/>
    <n v="4.3"/>
    <n v="73.900000000000006"/>
    <x v="1"/>
  </r>
  <r>
    <n v="112"/>
    <x v="111"/>
    <s v="U028"/>
    <n v="42"/>
    <x v="1"/>
    <x v="3"/>
    <n v="117"/>
    <n v="313"/>
    <n v="147"/>
    <n v="9764"/>
    <n v="5.5"/>
    <n v="62"/>
    <x v="0"/>
  </r>
  <r>
    <n v="113"/>
    <x v="112"/>
    <s v="U018"/>
    <n v="31"/>
    <x v="0"/>
    <x v="5"/>
    <n v="19"/>
    <n v="417"/>
    <n v="113"/>
    <n v="15511"/>
    <n v="5.9"/>
    <n v="63.2"/>
    <x v="1"/>
  </r>
  <r>
    <n v="114"/>
    <x v="113"/>
    <s v="U002"/>
    <n v="32"/>
    <x v="2"/>
    <x v="0"/>
    <n v="21"/>
    <n v="99"/>
    <n v="84"/>
    <n v="13967"/>
    <n v="7.9"/>
    <n v="72.2"/>
    <x v="0"/>
  </r>
  <r>
    <n v="115"/>
    <x v="114"/>
    <s v="U016"/>
    <n v="55"/>
    <x v="2"/>
    <x v="5"/>
    <n v="27"/>
    <n v="226"/>
    <n v="153"/>
    <n v="16860"/>
    <n v="6.8"/>
    <n v="61.7"/>
    <x v="0"/>
  </r>
  <r>
    <n v="116"/>
    <x v="115"/>
    <s v="U014"/>
    <n v="50"/>
    <x v="2"/>
    <x v="5"/>
    <n v="118"/>
    <n v="271"/>
    <n v="155"/>
    <n v="24984"/>
    <n v="4.9000000000000004"/>
    <n v="87.5"/>
    <x v="2"/>
  </r>
  <r>
    <n v="117"/>
    <x v="116"/>
    <s v="U024"/>
    <n v="65"/>
    <x v="2"/>
    <x v="1"/>
    <n v="78"/>
    <n v="315"/>
    <n v="61"/>
    <n v="4079"/>
    <n v="5"/>
    <n v="69"/>
    <x v="2"/>
  </r>
  <r>
    <n v="118"/>
    <x v="117"/>
    <s v="U030"/>
    <n v="48"/>
    <x v="2"/>
    <x v="4"/>
    <n v="13"/>
    <n v="502"/>
    <n v="138"/>
    <n v="16181"/>
    <n v="7.1"/>
    <n v="67.099999999999994"/>
    <x v="1"/>
  </r>
  <r>
    <n v="119"/>
    <x v="118"/>
    <s v="U018"/>
    <n v="33"/>
    <x v="1"/>
    <x v="5"/>
    <n v="113"/>
    <n v="230"/>
    <n v="139"/>
    <n v="11995"/>
    <n v="7.7"/>
    <n v="79.7"/>
    <x v="0"/>
  </r>
  <r>
    <n v="120"/>
    <x v="119"/>
    <s v="U017"/>
    <n v="23"/>
    <x v="2"/>
    <x v="3"/>
    <n v="107"/>
    <n v="397"/>
    <n v="104"/>
    <n v="9017"/>
    <n v="6.5"/>
    <n v="71.7"/>
    <x v="2"/>
  </r>
  <r>
    <n v="121"/>
    <x v="120"/>
    <s v="U012"/>
    <n v="25"/>
    <x v="2"/>
    <x v="3"/>
    <n v="79"/>
    <n v="223"/>
    <n v="158"/>
    <n v="5213"/>
    <n v="8.6"/>
    <n v="70.8"/>
    <x v="0"/>
  </r>
  <r>
    <n v="122"/>
    <x v="121"/>
    <s v="U021"/>
    <n v="66"/>
    <x v="2"/>
    <x v="0"/>
    <n v="70"/>
    <n v="416"/>
    <n v="157"/>
    <n v="17951"/>
    <n v="8.1999999999999993"/>
    <n v="63.5"/>
    <x v="1"/>
  </r>
  <r>
    <n v="123"/>
    <x v="122"/>
    <s v="U041"/>
    <n v="49"/>
    <x v="0"/>
    <x v="2"/>
    <n v="60"/>
    <n v="301"/>
    <n v="98"/>
    <n v="20424"/>
    <n v="5.2"/>
    <n v="88.4"/>
    <x v="1"/>
  </r>
  <r>
    <n v="124"/>
    <x v="123"/>
    <s v="U008"/>
    <n v="23"/>
    <x v="1"/>
    <x v="1"/>
    <n v="77"/>
    <n v="50"/>
    <n v="161"/>
    <n v="19046"/>
    <n v="4.8"/>
    <n v="48"/>
    <x v="0"/>
  </r>
  <r>
    <n v="125"/>
    <x v="124"/>
    <s v="U013"/>
    <n v="37"/>
    <x v="0"/>
    <x v="0"/>
    <n v="109"/>
    <n v="240"/>
    <n v="85"/>
    <n v="13407"/>
    <n v="4.2"/>
    <n v="84.8"/>
    <x v="0"/>
  </r>
  <r>
    <n v="126"/>
    <x v="125"/>
    <s v="U047"/>
    <n v="61"/>
    <x v="2"/>
    <x v="3"/>
    <n v="15"/>
    <n v="552"/>
    <n v="136"/>
    <n v="8650"/>
    <n v="6.1"/>
    <n v="77.5"/>
    <x v="2"/>
  </r>
  <r>
    <n v="127"/>
    <x v="126"/>
    <s v="U011"/>
    <n v="57"/>
    <x v="0"/>
    <x v="5"/>
    <n v="17"/>
    <n v="281"/>
    <n v="151"/>
    <n v="19878"/>
    <n v="9.5"/>
    <n v="61.8"/>
    <x v="0"/>
  </r>
  <r>
    <n v="128"/>
    <x v="127"/>
    <s v="U023"/>
    <n v="38"/>
    <x v="2"/>
    <x v="5"/>
    <n v="67"/>
    <n v="315"/>
    <n v="81"/>
    <n v="23000"/>
    <n v="9"/>
    <n v="47.2"/>
    <x v="2"/>
  </r>
  <r>
    <n v="129"/>
    <x v="128"/>
    <s v="U028"/>
    <n v="47"/>
    <x v="2"/>
    <x v="3"/>
    <n v="96"/>
    <n v="332"/>
    <n v="179"/>
    <n v="19992"/>
    <n v="4.2"/>
    <n v="72.5"/>
    <x v="1"/>
  </r>
  <r>
    <n v="130"/>
    <x v="129"/>
    <s v="U005"/>
    <n v="26"/>
    <x v="0"/>
    <x v="4"/>
    <n v="95"/>
    <n v="115"/>
    <n v="137"/>
    <n v="18294"/>
    <n v="8.1"/>
    <n v="72"/>
    <x v="0"/>
  </r>
  <r>
    <n v="131"/>
    <x v="130"/>
    <s v="U047"/>
    <n v="36"/>
    <x v="1"/>
    <x v="0"/>
    <n v="74"/>
    <n v="233"/>
    <n v="60"/>
    <n v="11448"/>
    <n v="6.6"/>
    <n v="89.7"/>
    <x v="2"/>
  </r>
  <r>
    <n v="132"/>
    <x v="131"/>
    <s v="U038"/>
    <n v="22"/>
    <x v="1"/>
    <x v="5"/>
    <n v="63"/>
    <n v="223"/>
    <n v="142"/>
    <n v="11047"/>
    <n v="7.4"/>
    <n v="53.2"/>
    <x v="0"/>
  </r>
  <r>
    <n v="133"/>
    <x v="132"/>
    <s v="U001"/>
    <n v="68"/>
    <x v="0"/>
    <x v="2"/>
    <n v="27"/>
    <n v="228"/>
    <n v="85"/>
    <n v="16060"/>
    <n v="4.0999999999999996"/>
    <n v="84.9"/>
    <x v="0"/>
  </r>
  <r>
    <n v="134"/>
    <x v="133"/>
    <s v="U039"/>
    <n v="42"/>
    <x v="1"/>
    <x v="5"/>
    <n v="21"/>
    <n v="334"/>
    <n v="130"/>
    <n v="5912"/>
    <n v="8.1"/>
    <n v="69.400000000000006"/>
    <x v="0"/>
  </r>
  <r>
    <n v="135"/>
    <x v="134"/>
    <s v="U019"/>
    <n v="22"/>
    <x v="0"/>
    <x v="3"/>
    <n v="98"/>
    <n v="446"/>
    <n v="161"/>
    <n v="3411"/>
    <n v="7.6"/>
    <n v="80.099999999999994"/>
    <x v="0"/>
  </r>
  <r>
    <n v="136"/>
    <x v="135"/>
    <s v="U023"/>
    <n v="34"/>
    <x v="1"/>
    <x v="1"/>
    <n v="67"/>
    <n v="252"/>
    <n v="87"/>
    <n v="19470"/>
    <n v="6.1"/>
    <n v="89.2"/>
    <x v="0"/>
  </r>
  <r>
    <n v="137"/>
    <x v="136"/>
    <s v="U038"/>
    <n v="37"/>
    <x v="2"/>
    <x v="6"/>
    <n v="53"/>
    <n v="202"/>
    <n v="143"/>
    <n v="23909"/>
    <n v="9.5"/>
    <n v="70.099999999999994"/>
    <x v="2"/>
  </r>
  <r>
    <n v="138"/>
    <x v="137"/>
    <s v="U011"/>
    <n v="45"/>
    <x v="2"/>
    <x v="5"/>
    <n v="80"/>
    <n v="276"/>
    <n v="63"/>
    <n v="7633"/>
    <n v="9"/>
    <n v="50.9"/>
    <x v="0"/>
  </r>
  <r>
    <n v="139"/>
    <x v="138"/>
    <s v="U007"/>
    <n v="39"/>
    <x v="0"/>
    <x v="1"/>
    <n v="105"/>
    <n v="247"/>
    <n v="82"/>
    <n v="10733"/>
    <n v="4"/>
    <n v="54.4"/>
    <x v="0"/>
  </r>
  <r>
    <n v="140"/>
    <x v="139"/>
    <s v="U008"/>
    <n v="37"/>
    <x v="2"/>
    <x v="3"/>
    <n v="81"/>
    <n v="312"/>
    <n v="141"/>
    <n v="15794"/>
    <n v="7.2"/>
    <n v="67.900000000000006"/>
    <x v="0"/>
  </r>
  <r>
    <n v="141"/>
    <x v="140"/>
    <s v="U016"/>
    <n v="22"/>
    <x v="2"/>
    <x v="6"/>
    <n v="19"/>
    <n v="289"/>
    <n v="127"/>
    <n v="2487"/>
    <n v="7.2"/>
    <n v="64.8"/>
    <x v="1"/>
  </r>
  <r>
    <n v="142"/>
    <x v="141"/>
    <s v="U034"/>
    <n v="42"/>
    <x v="0"/>
    <x v="1"/>
    <n v="16"/>
    <n v="281"/>
    <n v="110"/>
    <n v="3402"/>
    <n v="7.6"/>
    <n v="78.5"/>
    <x v="2"/>
  </r>
  <r>
    <n v="143"/>
    <x v="142"/>
    <s v="U037"/>
    <n v="32"/>
    <x v="2"/>
    <x v="0"/>
    <n v="57"/>
    <n v="254"/>
    <n v="178"/>
    <n v="6742"/>
    <n v="7.5"/>
    <n v="60.9"/>
    <x v="1"/>
  </r>
  <r>
    <n v="144"/>
    <x v="143"/>
    <s v="U038"/>
    <n v="40"/>
    <x v="2"/>
    <x v="2"/>
    <n v="112"/>
    <n v="170"/>
    <n v="158"/>
    <n v="11410"/>
    <n v="6.1"/>
    <n v="62.9"/>
    <x v="0"/>
  </r>
  <r>
    <n v="145"/>
    <x v="144"/>
    <s v="U025"/>
    <n v="57"/>
    <x v="0"/>
    <x v="6"/>
    <n v="104"/>
    <n v="388"/>
    <n v="140"/>
    <n v="4991"/>
    <n v="8.8000000000000007"/>
    <n v="82.7"/>
    <x v="1"/>
  </r>
  <r>
    <n v="146"/>
    <x v="145"/>
    <s v="U033"/>
    <n v="23"/>
    <x v="1"/>
    <x v="6"/>
    <n v="112"/>
    <n v="50"/>
    <n v="112"/>
    <n v="9929"/>
    <n v="3.8"/>
    <n v="57"/>
    <x v="0"/>
  </r>
  <r>
    <n v="147"/>
    <x v="146"/>
    <s v="U043"/>
    <n v="58"/>
    <x v="1"/>
    <x v="5"/>
    <n v="114"/>
    <n v="83"/>
    <n v="117"/>
    <n v="2754"/>
    <n v="6.9"/>
    <n v="81.2"/>
    <x v="2"/>
  </r>
  <r>
    <n v="148"/>
    <x v="147"/>
    <s v="U021"/>
    <n v="43"/>
    <x v="2"/>
    <x v="4"/>
    <n v="46"/>
    <n v="186"/>
    <n v="78"/>
    <n v="8109"/>
    <n v="4.9000000000000004"/>
    <n v="54.9"/>
    <x v="1"/>
  </r>
  <r>
    <n v="149"/>
    <x v="148"/>
    <s v="U024"/>
    <n v="69"/>
    <x v="2"/>
    <x v="0"/>
    <n v="75"/>
    <n v="193"/>
    <n v="166"/>
    <n v="10084"/>
    <n v="7.8"/>
    <n v="66.099999999999994"/>
    <x v="0"/>
  </r>
  <r>
    <n v="150"/>
    <x v="149"/>
    <s v="U041"/>
    <n v="53"/>
    <x v="2"/>
    <x v="4"/>
    <n v="79"/>
    <n v="318"/>
    <n v="163"/>
    <n v="18666"/>
    <n v="6.9"/>
    <n v="61.9"/>
    <x v="2"/>
  </r>
  <r>
    <n v="151"/>
    <x v="150"/>
    <s v="U022"/>
    <n v="16"/>
    <x v="0"/>
    <x v="0"/>
    <n v="103"/>
    <n v="342"/>
    <n v="102"/>
    <n v="16531"/>
    <n v="7"/>
    <n v="53.4"/>
    <x v="0"/>
  </r>
  <r>
    <n v="152"/>
    <x v="151"/>
    <s v="U001"/>
    <n v="67"/>
    <x v="1"/>
    <x v="5"/>
    <n v="13"/>
    <n v="314"/>
    <n v="67"/>
    <n v="16791"/>
    <n v="5.6"/>
    <n v="80.7"/>
    <x v="0"/>
  </r>
  <r>
    <n v="153"/>
    <x v="152"/>
    <s v="U038"/>
    <n v="36"/>
    <x v="2"/>
    <x v="2"/>
    <n v="61"/>
    <n v="169"/>
    <n v="149"/>
    <n v="11757"/>
    <n v="5.2"/>
    <n v="55.4"/>
    <x v="0"/>
  </r>
  <r>
    <n v="154"/>
    <x v="153"/>
    <s v="U029"/>
    <n v="23"/>
    <x v="2"/>
    <x v="1"/>
    <n v="82"/>
    <n v="281"/>
    <n v="79"/>
    <n v="22294"/>
    <n v="5.9"/>
    <n v="81.3"/>
    <x v="2"/>
  </r>
  <r>
    <n v="155"/>
    <x v="154"/>
    <s v="U037"/>
    <n v="39"/>
    <x v="0"/>
    <x v="2"/>
    <n v="32"/>
    <n v="275"/>
    <n v="144"/>
    <n v="1354"/>
    <n v="9.1"/>
    <n v="73.900000000000006"/>
    <x v="1"/>
  </r>
  <r>
    <n v="156"/>
    <x v="155"/>
    <s v="U026"/>
    <n v="34"/>
    <x v="0"/>
    <x v="0"/>
    <n v="118"/>
    <n v="169"/>
    <n v="140"/>
    <n v="18420"/>
    <n v="6"/>
    <n v="64.2"/>
    <x v="1"/>
  </r>
  <r>
    <n v="157"/>
    <x v="156"/>
    <s v="U030"/>
    <n v="33"/>
    <x v="2"/>
    <x v="1"/>
    <n v="16"/>
    <n v="209"/>
    <n v="111"/>
    <n v="13085"/>
    <n v="4.9000000000000004"/>
    <n v="67.099999999999994"/>
    <x v="0"/>
  </r>
  <r>
    <n v="158"/>
    <x v="157"/>
    <s v="U013"/>
    <n v="23"/>
    <x v="1"/>
    <x v="6"/>
    <n v="46"/>
    <n v="279"/>
    <n v="101"/>
    <n v="21070"/>
    <n v="3.2"/>
    <n v="57.6"/>
    <x v="0"/>
  </r>
  <r>
    <n v="159"/>
    <x v="158"/>
    <s v="U010"/>
    <n v="60"/>
    <x v="0"/>
    <x v="2"/>
    <n v="115"/>
    <n v="308"/>
    <n v="116"/>
    <n v="15851"/>
    <n v="6.7"/>
    <n v="98.3"/>
    <x v="0"/>
  </r>
  <r>
    <n v="160"/>
    <x v="159"/>
    <s v="U012"/>
    <n v="64"/>
    <x v="1"/>
    <x v="4"/>
    <n v="51"/>
    <n v="318"/>
    <n v="68"/>
    <n v="11677"/>
    <n v="8.8000000000000007"/>
    <n v="62.5"/>
    <x v="0"/>
  </r>
  <r>
    <n v="161"/>
    <x v="160"/>
    <s v="U033"/>
    <n v="34"/>
    <x v="0"/>
    <x v="4"/>
    <n v="18"/>
    <n v="391"/>
    <n v="115"/>
    <n v="16758"/>
    <n v="3.6"/>
    <n v="52.9"/>
    <x v="0"/>
  </r>
  <r>
    <n v="162"/>
    <x v="161"/>
    <s v="U019"/>
    <n v="48"/>
    <x v="2"/>
    <x v="2"/>
    <n v="6"/>
    <n v="333"/>
    <n v="102"/>
    <n v="5521"/>
    <n v="5.3"/>
    <n v="72.3"/>
    <x v="1"/>
  </r>
  <r>
    <n v="163"/>
    <x v="162"/>
    <s v="U011"/>
    <n v="48"/>
    <x v="2"/>
    <x v="1"/>
    <n v="95"/>
    <n v="339"/>
    <n v="155"/>
    <n v="24819"/>
    <n v="8.1"/>
    <n v="82.7"/>
    <x v="0"/>
  </r>
  <r>
    <n v="164"/>
    <x v="163"/>
    <s v="U030"/>
    <n v="42"/>
    <x v="0"/>
    <x v="1"/>
    <n v="71"/>
    <n v="235"/>
    <n v="163"/>
    <n v="22904"/>
    <n v="3"/>
    <n v="81.900000000000006"/>
    <x v="0"/>
  </r>
  <r>
    <n v="165"/>
    <x v="164"/>
    <s v="U022"/>
    <n v="42"/>
    <x v="2"/>
    <x v="6"/>
    <n v="108"/>
    <n v="316"/>
    <n v="162"/>
    <n v="10795"/>
    <n v="6.3"/>
    <n v="53.2"/>
    <x v="0"/>
  </r>
  <r>
    <n v="166"/>
    <x v="165"/>
    <s v="U031"/>
    <n v="63"/>
    <x v="1"/>
    <x v="6"/>
    <n v="93"/>
    <n v="348"/>
    <n v="107"/>
    <n v="8636"/>
    <n v="4.8"/>
    <n v="95.4"/>
    <x v="0"/>
  </r>
  <r>
    <n v="167"/>
    <x v="166"/>
    <s v="U011"/>
    <n v="52"/>
    <x v="2"/>
    <x v="5"/>
    <n v="66"/>
    <n v="468"/>
    <n v="140"/>
    <n v="12933"/>
    <n v="7.9"/>
    <n v="85.8"/>
    <x v="0"/>
  </r>
  <r>
    <n v="168"/>
    <x v="167"/>
    <s v="U041"/>
    <n v="44"/>
    <x v="0"/>
    <x v="0"/>
    <n v="77"/>
    <n v="264"/>
    <n v="153"/>
    <n v="13874"/>
    <n v="4.2"/>
    <n v="72.8"/>
    <x v="0"/>
  </r>
  <r>
    <n v="169"/>
    <x v="168"/>
    <s v="U030"/>
    <n v="34"/>
    <x v="2"/>
    <x v="4"/>
    <n v="94"/>
    <n v="462"/>
    <n v="173"/>
    <n v="19741"/>
    <n v="3.3"/>
    <n v="78.599999999999994"/>
    <x v="1"/>
  </r>
  <r>
    <n v="170"/>
    <x v="169"/>
    <s v="U026"/>
    <n v="50"/>
    <x v="0"/>
    <x v="6"/>
    <n v="18"/>
    <n v="237"/>
    <n v="80"/>
    <n v="23838"/>
    <n v="9.4"/>
    <n v="45.3"/>
    <x v="2"/>
  </r>
  <r>
    <n v="171"/>
    <x v="170"/>
    <s v="U014"/>
    <n v="40"/>
    <x v="0"/>
    <x v="3"/>
    <n v="33"/>
    <n v="160"/>
    <n v="143"/>
    <n v="8970"/>
    <n v="4.2"/>
    <n v="79.400000000000006"/>
    <x v="0"/>
  </r>
  <r>
    <n v="172"/>
    <x v="171"/>
    <s v="U035"/>
    <n v="42"/>
    <x v="0"/>
    <x v="0"/>
    <n v="15"/>
    <n v="50"/>
    <n v="162"/>
    <n v="15138"/>
    <n v="8.1999999999999993"/>
    <n v="48.1"/>
    <x v="1"/>
  </r>
  <r>
    <n v="173"/>
    <x v="172"/>
    <s v="U050"/>
    <n v="62"/>
    <x v="1"/>
    <x v="1"/>
    <n v="22"/>
    <n v="114"/>
    <n v="163"/>
    <n v="14068"/>
    <n v="3.8"/>
    <n v="63.3"/>
    <x v="0"/>
  </r>
  <r>
    <n v="174"/>
    <x v="173"/>
    <s v="U008"/>
    <n v="29"/>
    <x v="2"/>
    <x v="0"/>
    <n v="84"/>
    <n v="209"/>
    <n v="135"/>
    <n v="16733"/>
    <n v="3.4"/>
    <n v="81.900000000000006"/>
    <x v="2"/>
  </r>
  <r>
    <n v="175"/>
    <x v="174"/>
    <s v="U044"/>
    <n v="31"/>
    <x v="1"/>
    <x v="4"/>
    <n v="98"/>
    <n v="387"/>
    <n v="128"/>
    <n v="22336"/>
    <n v="6.3"/>
    <n v="91.6"/>
    <x v="1"/>
  </r>
  <r>
    <n v="176"/>
    <x v="175"/>
    <s v="U049"/>
    <n v="58"/>
    <x v="1"/>
    <x v="1"/>
    <n v="53"/>
    <n v="236"/>
    <n v="82"/>
    <n v="9498"/>
    <n v="5.4"/>
    <n v="59.3"/>
    <x v="2"/>
  </r>
  <r>
    <n v="177"/>
    <x v="176"/>
    <s v="U031"/>
    <n v="43"/>
    <x v="1"/>
    <x v="1"/>
    <n v="96"/>
    <n v="67"/>
    <n v="149"/>
    <n v="21295"/>
    <n v="9.4"/>
    <n v="87"/>
    <x v="2"/>
  </r>
  <r>
    <n v="178"/>
    <x v="177"/>
    <s v="U034"/>
    <n v="23"/>
    <x v="2"/>
    <x v="5"/>
    <n v="18"/>
    <n v="325"/>
    <n v="76"/>
    <n v="19575"/>
    <n v="9.4"/>
    <n v="80.099999999999994"/>
    <x v="0"/>
  </r>
  <r>
    <n v="179"/>
    <x v="178"/>
    <s v="U006"/>
    <n v="68"/>
    <x v="1"/>
    <x v="3"/>
    <n v="70"/>
    <n v="151"/>
    <n v="108"/>
    <n v="12397"/>
    <n v="7.6"/>
    <n v="96.3"/>
    <x v="1"/>
  </r>
  <r>
    <n v="180"/>
    <x v="179"/>
    <s v="U024"/>
    <n v="20"/>
    <x v="1"/>
    <x v="3"/>
    <n v="26"/>
    <n v="376"/>
    <n v="150"/>
    <n v="20748"/>
    <n v="3.7"/>
    <n v="69.2"/>
    <x v="0"/>
  </r>
  <r>
    <n v="181"/>
    <x v="180"/>
    <s v="U034"/>
    <n v="17"/>
    <x v="1"/>
    <x v="4"/>
    <n v="13"/>
    <n v="326"/>
    <n v="159"/>
    <n v="960"/>
    <n v="4.9000000000000004"/>
    <n v="62.4"/>
    <x v="1"/>
  </r>
  <r>
    <n v="182"/>
    <x v="181"/>
    <s v="U011"/>
    <n v="45"/>
    <x v="1"/>
    <x v="2"/>
    <n v="54"/>
    <n v="365"/>
    <n v="125"/>
    <n v="15014"/>
    <n v="7.7"/>
    <n v="48.3"/>
    <x v="2"/>
  </r>
  <r>
    <n v="183"/>
    <x v="182"/>
    <s v="U004"/>
    <n v="69"/>
    <x v="2"/>
    <x v="5"/>
    <n v="22"/>
    <n v="369"/>
    <n v="106"/>
    <n v="14396"/>
    <n v="6.6"/>
    <n v="65.7"/>
    <x v="0"/>
  </r>
  <r>
    <n v="184"/>
    <x v="183"/>
    <s v="U026"/>
    <n v="31"/>
    <x v="2"/>
    <x v="0"/>
    <n v="90"/>
    <n v="187"/>
    <n v="136"/>
    <n v="22910"/>
    <n v="3.6"/>
    <n v="57.1"/>
    <x v="1"/>
  </r>
  <r>
    <n v="185"/>
    <x v="184"/>
    <s v="U049"/>
    <n v="68"/>
    <x v="0"/>
    <x v="3"/>
    <n v="95"/>
    <n v="362"/>
    <n v="165"/>
    <n v="8877"/>
    <n v="6.1"/>
    <n v="47.9"/>
    <x v="0"/>
  </r>
  <r>
    <n v="186"/>
    <x v="185"/>
    <s v="U017"/>
    <n v="16"/>
    <x v="0"/>
    <x v="3"/>
    <n v="13"/>
    <n v="312"/>
    <n v="85"/>
    <n v="3126"/>
    <n v="5.9"/>
    <n v="66.2"/>
    <x v="0"/>
  </r>
  <r>
    <n v="187"/>
    <x v="12"/>
    <s v="U028"/>
    <n v="39"/>
    <x v="0"/>
    <x v="5"/>
    <n v="105"/>
    <n v="269"/>
    <n v="111"/>
    <n v="22972"/>
    <n v="5.5"/>
    <n v="59"/>
    <x v="1"/>
  </r>
  <r>
    <n v="188"/>
    <x v="186"/>
    <s v="U022"/>
    <n v="69"/>
    <x v="0"/>
    <x v="1"/>
    <n v="112"/>
    <n v="335"/>
    <n v="86"/>
    <n v="17624"/>
    <n v="8.3000000000000007"/>
    <n v="76.900000000000006"/>
    <x v="0"/>
  </r>
  <r>
    <n v="189"/>
    <x v="187"/>
    <s v="U028"/>
    <n v="34"/>
    <x v="1"/>
    <x v="3"/>
    <n v="112"/>
    <n v="311"/>
    <n v="163"/>
    <n v="11583"/>
    <n v="4.7"/>
    <n v="71.7"/>
    <x v="1"/>
  </r>
  <r>
    <n v="190"/>
    <x v="188"/>
    <s v="U016"/>
    <n v="53"/>
    <x v="0"/>
    <x v="3"/>
    <n v="100"/>
    <n v="381"/>
    <n v="127"/>
    <n v="10074"/>
    <n v="6"/>
    <n v="90.3"/>
    <x v="2"/>
  </r>
  <r>
    <n v="191"/>
    <x v="189"/>
    <s v="U015"/>
    <n v="60"/>
    <x v="1"/>
    <x v="3"/>
    <n v="95"/>
    <n v="302"/>
    <n v="115"/>
    <n v="12602"/>
    <n v="4.2"/>
    <n v="67.8"/>
    <x v="1"/>
  </r>
  <r>
    <n v="192"/>
    <x v="190"/>
    <s v="U050"/>
    <n v="54"/>
    <x v="0"/>
    <x v="3"/>
    <n v="97"/>
    <n v="274"/>
    <n v="179"/>
    <n v="13971"/>
    <n v="7.4"/>
    <n v="87"/>
    <x v="1"/>
  </r>
  <r>
    <n v="193"/>
    <x v="191"/>
    <s v="U049"/>
    <n v="64"/>
    <x v="2"/>
    <x v="1"/>
    <n v="61"/>
    <n v="377"/>
    <n v="149"/>
    <n v="13152"/>
    <n v="6.9"/>
    <n v="83.4"/>
    <x v="2"/>
  </r>
  <r>
    <n v="194"/>
    <x v="192"/>
    <s v="U015"/>
    <n v="30"/>
    <x v="1"/>
    <x v="5"/>
    <n v="112"/>
    <n v="208"/>
    <n v="148"/>
    <n v="17539"/>
    <n v="5.0999999999999996"/>
    <n v="44.3"/>
    <x v="0"/>
  </r>
  <r>
    <n v="195"/>
    <x v="193"/>
    <s v="U021"/>
    <n v="66"/>
    <x v="1"/>
    <x v="2"/>
    <n v="116"/>
    <n v="192"/>
    <n v="155"/>
    <n v="1803"/>
    <n v="8.8000000000000007"/>
    <n v="71.2"/>
    <x v="1"/>
  </r>
  <r>
    <n v="196"/>
    <x v="194"/>
    <s v="U011"/>
    <n v="62"/>
    <x v="1"/>
    <x v="3"/>
    <n v="84"/>
    <n v="435"/>
    <n v="130"/>
    <n v="18532"/>
    <n v="6.8"/>
    <n v="46.2"/>
    <x v="0"/>
  </r>
  <r>
    <n v="197"/>
    <x v="195"/>
    <s v="U045"/>
    <n v="17"/>
    <x v="0"/>
    <x v="3"/>
    <n v="65"/>
    <n v="408"/>
    <n v="73"/>
    <n v="8355"/>
    <n v="4.2"/>
    <n v="89.4"/>
    <x v="2"/>
  </r>
  <r>
    <n v="198"/>
    <x v="196"/>
    <s v="U021"/>
    <n v="41"/>
    <x v="2"/>
    <x v="1"/>
    <n v="99"/>
    <n v="585"/>
    <n v="89"/>
    <n v="22822"/>
    <n v="8"/>
    <n v="59.3"/>
    <x v="2"/>
  </r>
  <r>
    <n v="199"/>
    <x v="197"/>
    <s v="U009"/>
    <n v="66"/>
    <x v="2"/>
    <x v="3"/>
    <n v="74"/>
    <n v="230"/>
    <n v="72"/>
    <n v="16001"/>
    <n v="4.3"/>
    <n v="98.6"/>
    <x v="2"/>
  </r>
  <r>
    <n v="200"/>
    <x v="198"/>
    <s v="U027"/>
    <n v="44"/>
    <x v="2"/>
    <x v="6"/>
    <n v="68"/>
    <n v="241"/>
    <n v="80"/>
    <n v="7358"/>
    <n v="7.4"/>
    <n v="72.09999999999999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3:B31" firstHeaderRow="1" firstDataRow="1" firstDataCol="1"/>
  <pivotFields count="14">
    <pivotField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4">
        <item x="1"/>
        <item x="0"/>
        <item x="2"/>
        <item t="default"/>
      </items>
    </pivotField>
    <pivotField showAll="0">
      <items count="8">
        <item x="0"/>
        <item x="4"/>
        <item x="6"/>
        <item x="1"/>
        <item x="2"/>
        <item x="5"/>
        <item x="3"/>
        <item t="default"/>
      </items>
    </pivotField>
    <pivotField showAll="0"/>
    <pivotField showAll="0"/>
    <pivotField showAll="0"/>
    <pivotField dataField="1" showAll="0"/>
    <pivotField showAll="0"/>
    <pivotField showAll="0"/>
    <pivotField showAll="0">
      <items count="4">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1"/>
  </rowFields>
  <rowItems count="8">
    <i>
      <x v="4"/>
    </i>
    <i>
      <x v="5"/>
    </i>
    <i>
      <x v="6"/>
    </i>
    <i>
      <x v="7"/>
    </i>
    <i>
      <x v="8"/>
    </i>
    <i>
      <x v="9"/>
    </i>
    <i>
      <x v="10"/>
    </i>
    <i t="grand">
      <x/>
    </i>
  </rowItems>
  <colItems count="1">
    <i/>
  </colItems>
  <dataFields count="1">
    <dataField name="Sum of steps" fld="9"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3:B21" firstHeaderRow="1" firstDataRow="1" firstDataCol="1"/>
  <pivotFields count="14">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4">
        <item x="1"/>
        <item x="0"/>
        <item x="2"/>
        <item t="default"/>
      </items>
    </pivotField>
    <pivotField axis="axisRow" showAll="0" sortType="ascending">
      <items count="8">
        <item x="0"/>
        <item x="4"/>
        <item x="6"/>
        <item x="1"/>
        <item x="2"/>
        <item x="5"/>
        <item x="3"/>
        <item t="default"/>
      </items>
    </pivotField>
    <pivotField showAll="0"/>
    <pivotField dataField="1" showAll="0"/>
    <pivotField showAll="0"/>
    <pivotField showAll="0"/>
    <pivotField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Items count="1">
    <i/>
  </colItems>
  <dataFields count="1">
    <dataField name="Average of calories_burned" fld="7" subtotal="average" baseField="5" baseItem="0" numFmtId="1"/>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B11" firstHeaderRow="1" firstDataRow="1" firstDataCol="1"/>
  <pivotFields count="14">
    <pivotField dataField="1"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4">
        <item x="1"/>
        <item x="0"/>
        <item x="2"/>
        <item t="default"/>
      </items>
    </pivotField>
    <pivotField axis="axisRow" showAll="0">
      <items count="8">
        <item x="0"/>
        <item x="4"/>
        <item x="6"/>
        <item x="1"/>
        <item x="2"/>
        <item x="5"/>
        <item x="3"/>
        <item t="default"/>
      </items>
    </pivotField>
    <pivotField showAll="0"/>
    <pivotField showAll="0"/>
    <pivotField showAll="0"/>
    <pivotField showAll="0"/>
    <pivotField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Items count="1">
    <i/>
  </colItems>
  <dataFields count="1">
    <dataField name="Count of record_id" fld="0" subtotal="count" baseField="5" baseItem="0"/>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40:C48" firstHeaderRow="1" firstDataRow="1" firstDataCol="1"/>
  <pivotFields count="14">
    <pivotField showAll="0"/>
    <pivotField numFmtId="22" showAll="0"/>
    <pivotField showAll="0"/>
    <pivotField showAll="0"/>
    <pivotField showAll="0">
      <items count="4">
        <item x="1"/>
        <item x="0"/>
        <item x="2"/>
        <item t="default"/>
      </items>
    </pivotField>
    <pivotField axis="axisRow" showAll="0">
      <items count="8">
        <item x="0"/>
        <item x="4"/>
        <item x="6"/>
        <item x="1"/>
        <item x="2"/>
        <item x="5"/>
        <item x="3"/>
        <item t="default"/>
      </items>
    </pivotField>
    <pivotField showAll="0"/>
    <pivotField showAll="0"/>
    <pivotField showAll="0"/>
    <pivotField showAll="0"/>
    <pivotField dataField="1" showAll="0"/>
    <pivotField showAll="0"/>
    <pivotField showAll="0">
      <items count="4">
        <item x="0"/>
        <item x="1"/>
        <item x="2"/>
        <item t="default"/>
      </items>
    </pivotField>
    <pivotField showAll="0" defaultSubtotal="0"/>
  </pivotFields>
  <rowFields count="1">
    <field x="5"/>
  </rowFields>
  <rowItems count="8">
    <i>
      <x/>
    </i>
    <i>
      <x v="1"/>
    </i>
    <i>
      <x v="2"/>
    </i>
    <i>
      <x v="3"/>
    </i>
    <i>
      <x v="4"/>
    </i>
    <i>
      <x v="5"/>
    </i>
    <i>
      <x v="6"/>
    </i>
    <i t="grand">
      <x/>
    </i>
  </rowItems>
  <colItems count="1">
    <i/>
  </colItems>
  <dataFields count="1">
    <dataField name="Average of sleep_hours" fld="10" subtotal="average" baseField="5"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34:C38" firstHeaderRow="1" firstDataRow="1" firstDataCol="1"/>
  <pivotFields count="14">
    <pivotField showAll="0"/>
    <pivotField numFmtId="22" showAll="0"/>
    <pivotField showAll="0"/>
    <pivotField showAll="0"/>
    <pivotField showAll="0">
      <items count="4">
        <item x="1"/>
        <item x="0"/>
        <item x="2"/>
        <item t="default"/>
      </items>
    </pivotField>
    <pivotField showAll="0">
      <items count="8">
        <item x="0"/>
        <item x="4"/>
        <item x="6"/>
        <item x="1"/>
        <item x="2"/>
        <item x="5"/>
        <item x="3"/>
        <item t="default"/>
      </items>
    </pivotField>
    <pivotField showAll="0"/>
    <pivotField showAll="0"/>
    <pivotField dataField="1" showAll="0"/>
    <pivotField showAll="0"/>
    <pivotField showAll="0"/>
    <pivotField showAll="0"/>
    <pivotField axis="axisRow" showAll="0">
      <items count="4">
        <item x="0"/>
        <item x="1"/>
        <item x="2"/>
        <item t="default"/>
      </items>
    </pivotField>
    <pivotField showAll="0" defaultSubtotal="0"/>
  </pivotFields>
  <rowFields count="1">
    <field x="12"/>
  </rowFields>
  <rowItems count="4">
    <i>
      <x/>
    </i>
    <i>
      <x v="1"/>
    </i>
    <i>
      <x v="2"/>
    </i>
    <i t="grand">
      <x/>
    </i>
  </rowItems>
  <colItems count="1">
    <i/>
  </colItems>
  <dataFields count="1">
    <dataField name="Average of heart_rate_avg" fld="8" subtotal="average" baseField="12"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3" name="PivotTable1"/>
    <pivotTable tabId="3" name="PivotTable2"/>
    <pivotTable tabId="3" name="PivotTable3"/>
    <pivotTable tabId="3" name="PivotTable4"/>
    <pivotTable tabId="3" name="PivotTable5"/>
  </pivotTables>
  <data>
    <tabular pivotCacheId="40570833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000000-0013-0000-FFFF-FFFF02000000}" sourceName="age_group">
  <pivotTables>
    <pivotTable tabId="3" name="PivotTable3"/>
    <pivotTable tabId="3" name="PivotTable1"/>
    <pivotTable tabId="3" name="PivotTable2"/>
    <pivotTable tabId="3" name="PivotTable4"/>
    <pivotTable tabId="3" name="PivotTable5"/>
  </pivotTables>
  <data>
    <tabular pivotCacheId="40570833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type" xr10:uid="{00000000-0013-0000-FFFF-FFFF03000000}" sourceName="activity_type">
  <pivotTables>
    <pivotTable tabId="3" name="PivotTable4"/>
    <pivotTable tabId="3" name="PivotTable1"/>
    <pivotTable tabId="3" name="PivotTable2"/>
    <pivotTable tabId="3" name="PivotTable3"/>
    <pivotTable tabId="3" name="PivotTable5"/>
  </pivotTables>
  <data>
    <tabular pivotCacheId="405708338">
      <items count="7">
        <i x="0" s="1"/>
        <i x="4" s="1"/>
        <i x="6" s="1"/>
        <i x="1" s="1"/>
        <i x="2"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style="SlicerStyleLight3" rowHeight="241300"/>
  <slicer name="age_group" xr10:uid="{00000000-0014-0000-FFFF-FFFF02000000}" cache="Slicer_age_group" caption="age_group" style="SlicerStyleLight3" rowHeight="241300"/>
  <slicer name="activity_type" xr10:uid="{00000000-0014-0000-FFFF-FFFF03000000}" cache="Slicer_activity_type" caption="activity_type"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topLeftCell="B180" workbookViewId="0">
      <selection sqref="A1:L201"/>
    </sheetView>
  </sheetViews>
  <sheetFormatPr defaultRowHeight="15" x14ac:dyDescent="0.25"/>
  <cols>
    <col min="2" max="2" width="19.5703125" customWidth="1"/>
    <col min="3" max="3" width="12" customWidth="1"/>
    <col min="5" max="5" width="11.140625" customWidth="1"/>
    <col min="6" max="6" width="16" customWidth="1"/>
    <col min="7" max="7" width="13.140625" customWidth="1"/>
    <col min="8" max="8" width="14.42578125" customWidth="1"/>
    <col min="9" max="9" width="10.42578125" customWidth="1"/>
    <col min="11" max="11" width="14" customWidth="1"/>
    <col min="12" max="12" width="12.5703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s="1">
        <v>45860.390902777777</v>
      </c>
      <c r="C2" t="s">
        <v>12</v>
      </c>
      <c r="D2">
        <v>67</v>
      </c>
      <c r="E2" t="s">
        <v>13</v>
      </c>
      <c r="F2" t="s">
        <v>14</v>
      </c>
      <c r="G2">
        <v>7</v>
      </c>
      <c r="H2">
        <v>322</v>
      </c>
      <c r="I2">
        <v>175</v>
      </c>
      <c r="J2">
        <v>3591</v>
      </c>
      <c r="K2">
        <v>7</v>
      </c>
      <c r="L2">
        <v>84.3</v>
      </c>
    </row>
    <row r="3" spans="1:12" x14ac:dyDescent="0.25">
      <c r="A3">
        <v>2</v>
      </c>
      <c r="B3" s="1">
        <v>45805.579097222224</v>
      </c>
      <c r="C3" t="s">
        <v>15</v>
      </c>
      <c r="D3">
        <v>16</v>
      </c>
      <c r="E3" t="s">
        <v>16</v>
      </c>
      <c r="F3" t="s">
        <v>17</v>
      </c>
      <c r="G3">
        <v>83</v>
      </c>
      <c r="H3">
        <v>265</v>
      </c>
      <c r="I3">
        <v>113</v>
      </c>
      <c r="J3">
        <v>22312</v>
      </c>
      <c r="K3">
        <v>5.7</v>
      </c>
      <c r="L3">
        <v>79.599999999999994</v>
      </c>
    </row>
    <row r="4" spans="1:12" x14ac:dyDescent="0.25">
      <c r="A4">
        <v>3</v>
      </c>
      <c r="B4" s="1">
        <v>45876.067291666666</v>
      </c>
      <c r="C4" t="s">
        <v>18</v>
      </c>
      <c r="D4">
        <v>62</v>
      </c>
      <c r="E4" t="s">
        <v>16</v>
      </c>
      <c r="F4" t="s">
        <v>14</v>
      </c>
      <c r="G4">
        <v>118</v>
      </c>
      <c r="H4">
        <v>508</v>
      </c>
      <c r="I4">
        <v>98</v>
      </c>
      <c r="J4">
        <v>5418</v>
      </c>
      <c r="K4">
        <v>6.6</v>
      </c>
      <c r="L4">
        <v>88.3</v>
      </c>
    </row>
    <row r="5" spans="1:12" x14ac:dyDescent="0.25">
      <c r="A5">
        <v>4</v>
      </c>
      <c r="B5" s="1">
        <v>45855.081180555557</v>
      </c>
      <c r="C5" t="s">
        <v>19</v>
      </c>
      <c r="D5">
        <v>56</v>
      </c>
      <c r="E5" t="s">
        <v>16</v>
      </c>
      <c r="F5" t="s">
        <v>20</v>
      </c>
      <c r="G5">
        <v>75</v>
      </c>
      <c r="H5">
        <v>270</v>
      </c>
      <c r="I5">
        <v>150</v>
      </c>
      <c r="J5">
        <v>19809</v>
      </c>
      <c r="K5">
        <v>7.9</v>
      </c>
      <c r="L5">
        <v>69</v>
      </c>
    </row>
    <row r="6" spans="1:12" x14ac:dyDescent="0.25">
      <c r="A6">
        <v>5</v>
      </c>
      <c r="B6" s="1">
        <v>45880.140902777777</v>
      </c>
      <c r="C6" t="s">
        <v>21</v>
      </c>
      <c r="D6">
        <v>42</v>
      </c>
      <c r="E6" t="s">
        <v>22</v>
      </c>
      <c r="F6" t="s">
        <v>23</v>
      </c>
      <c r="G6">
        <v>76</v>
      </c>
      <c r="H6">
        <v>308</v>
      </c>
      <c r="I6">
        <v>141</v>
      </c>
      <c r="J6">
        <v>12562</v>
      </c>
      <c r="K6">
        <v>5</v>
      </c>
      <c r="L6">
        <v>61.6</v>
      </c>
    </row>
    <row r="7" spans="1:12" x14ac:dyDescent="0.25">
      <c r="A7">
        <v>6</v>
      </c>
      <c r="B7" s="1">
        <v>45863.542291666665</v>
      </c>
      <c r="C7" t="s">
        <v>24</v>
      </c>
      <c r="D7">
        <v>39</v>
      </c>
      <c r="E7" t="s">
        <v>16</v>
      </c>
      <c r="F7" t="s">
        <v>25</v>
      </c>
      <c r="G7">
        <v>50</v>
      </c>
      <c r="H7">
        <v>471</v>
      </c>
      <c r="I7">
        <v>163</v>
      </c>
      <c r="J7">
        <v>23432</v>
      </c>
      <c r="K7">
        <v>7.4</v>
      </c>
      <c r="L7">
        <v>98.7</v>
      </c>
    </row>
    <row r="8" spans="1:12" x14ac:dyDescent="0.25">
      <c r="A8">
        <v>7</v>
      </c>
      <c r="B8" s="1">
        <v>45798.366597222222</v>
      </c>
      <c r="C8" t="s">
        <v>26</v>
      </c>
      <c r="D8">
        <v>61</v>
      </c>
      <c r="E8" t="s">
        <v>22</v>
      </c>
      <c r="F8" t="s">
        <v>27</v>
      </c>
      <c r="G8">
        <v>88</v>
      </c>
      <c r="H8">
        <v>238</v>
      </c>
      <c r="I8">
        <v>78</v>
      </c>
      <c r="J8">
        <v>14851</v>
      </c>
      <c r="K8">
        <v>6.8</v>
      </c>
      <c r="L8">
        <v>61.8</v>
      </c>
    </row>
    <row r="9" spans="1:12" x14ac:dyDescent="0.25">
      <c r="A9">
        <v>8</v>
      </c>
      <c r="B9" s="1">
        <v>45836.604097222225</v>
      </c>
      <c r="C9" t="s">
        <v>28</v>
      </c>
      <c r="D9">
        <v>46</v>
      </c>
      <c r="E9" t="s">
        <v>16</v>
      </c>
      <c r="F9" t="s">
        <v>23</v>
      </c>
      <c r="G9">
        <v>39</v>
      </c>
      <c r="H9">
        <v>133</v>
      </c>
      <c r="I9">
        <v>179</v>
      </c>
      <c r="J9">
        <v>15351</v>
      </c>
      <c r="K9">
        <v>4.5</v>
      </c>
      <c r="L9">
        <v>46</v>
      </c>
    </row>
    <row r="10" spans="1:12" x14ac:dyDescent="0.25">
      <c r="A10">
        <v>9</v>
      </c>
      <c r="B10" s="1">
        <v>45871.831875000003</v>
      </c>
      <c r="C10" t="s">
        <v>29</v>
      </c>
      <c r="D10">
        <v>63</v>
      </c>
      <c r="E10" t="s">
        <v>13</v>
      </c>
      <c r="F10" t="s">
        <v>20</v>
      </c>
      <c r="G10">
        <v>10</v>
      </c>
      <c r="H10">
        <v>500</v>
      </c>
      <c r="I10">
        <v>82</v>
      </c>
      <c r="J10">
        <v>13072</v>
      </c>
      <c r="K10">
        <v>4.7</v>
      </c>
      <c r="L10">
        <v>72.599999999999994</v>
      </c>
    </row>
    <row r="11" spans="1:12" x14ac:dyDescent="0.25">
      <c r="A11">
        <v>10</v>
      </c>
      <c r="B11" s="1">
        <v>45900.413124999999</v>
      </c>
      <c r="C11" t="s">
        <v>30</v>
      </c>
      <c r="D11">
        <v>27</v>
      </c>
      <c r="E11" t="s">
        <v>22</v>
      </c>
      <c r="F11" t="s">
        <v>20</v>
      </c>
      <c r="G11">
        <v>100</v>
      </c>
      <c r="H11">
        <v>210</v>
      </c>
      <c r="I11">
        <v>165</v>
      </c>
      <c r="J11">
        <v>22439</v>
      </c>
      <c r="K11">
        <v>6.3</v>
      </c>
      <c r="L11">
        <v>73.7</v>
      </c>
    </row>
    <row r="12" spans="1:12" x14ac:dyDescent="0.25">
      <c r="A12">
        <v>11</v>
      </c>
      <c r="B12" s="1">
        <v>45795.274236111109</v>
      </c>
      <c r="C12" t="s">
        <v>31</v>
      </c>
      <c r="D12">
        <v>58</v>
      </c>
      <c r="E12" t="s">
        <v>22</v>
      </c>
      <c r="F12" t="s">
        <v>27</v>
      </c>
      <c r="G12">
        <v>16</v>
      </c>
      <c r="H12">
        <v>256</v>
      </c>
      <c r="I12">
        <v>73</v>
      </c>
      <c r="J12">
        <v>16338</v>
      </c>
      <c r="K12">
        <v>7.3</v>
      </c>
      <c r="L12">
        <v>69.400000000000006</v>
      </c>
    </row>
    <row r="13" spans="1:12" x14ac:dyDescent="0.25">
      <c r="A13">
        <v>12</v>
      </c>
      <c r="B13" s="1">
        <v>45821.680486111109</v>
      </c>
      <c r="C13" t="s">
        <v>32</v>
      </c>
      <c r="D13">
        <v>52</v>
      </c>
      <c r="E13" t="s">
        <v>13</v>
      </c>
      <c r="F13" t="s">
        <v>23</v>
      </c>
      <c r="G13">
        <v>49</v>
      </c>
      <c r="H13">
        <v>376</v>
      </c>
      <c r="I13">
        <v>102</v>
      </c>
      <c r="J13">
        <v>11601</v>
      </c>
      <c r="K13">
        <v>9.1999999999999993</v>
      </c>
      <c r="L13">
        <v>82.3</v>
      </c>
    </row>
    <row r="14" spans="1:12" x14ac:dyDescent="0.25">
      <c r="A14">
        <v>13</v>
      </c>
      <c r="B14" s="1">
        <v>45846.914513888885</v>
      </c>
      <c r="C14" t="s">
        <v>33</v>
      </c>
      <c r="D14">
        <v>39</v>
      </c>
      <c r="E14" t="s">
        <v>16</v>
      </c>
      <c r="F14" t="s">
        <v>20</v>
      </c>
      <c r="G14">
        <v>74</v>
      </c>
      <c r="H14">
        <v>293</v>
      </c>
      <c r="I14">
        <v>172</v>
      </c>
      <c r="J14">
        <v>24435</v>
      </c>
      <c r="K14">
        <v>3.2</v>
      </c>
      <c r="L14">
        <v>72.7</v>
      </c>
    </row>
    <row r="15" spans="1:12" x14ac:dyDescent="0.25">
      <c r="A15">
        <v>14</v>
      </c>
      <c r="B15" s="1">
        <v>45939.829791666663</v>
      </c>
      <c r="C15" t="s">
        <v>34</v>
      </c>
      <c r="D15">
        <v>46</v>
      </c>
      <c r="E15" t="s">
        <v>16</v>
      </c>
      <c r="F15" t="s">
        <v>23</v>
      </c>
      <c r="G15">
        <v>54</v>
      </c>
      <c r="H15">
        <v>563</v>
      </c>
      <c r="I15">
        <v>115</v>
      </c>
      <c r="J15">
        <v>24409</v>
      </c>
      <c r="K15">
        <v>6.7</v>
      </c>
      <c r="L15">
        <v>64.599999999999994</v>
      </c>
    </row>
    <row r="16" spans="1:12" x14ac:dyDescent="0.25">
      <c r="A16">
        <v>15</v>
      </c>
      <c r="B16" s="1">
        <v>45941.804097222222</v>
      </c>
      <c r="C16" t="s">
        <v>35</v>
      </c>
      <c r="D16">
        <v>42</v>
      </c>
      <c r="E16" t="s">
        <v>22</v>
      </c>
      <c r="F16" t="s">
        <v>25</v>
      </c>
      <c r="G16">
        <v>33</v>
      </c>
      <c r="H16">
        <v>452</v>
      </c>
      <c r="I16">
        <v>85</v>
      </c>
      <c r="J16">
        <v>18362</v>
      </c>
      <c r="K16">
        <v>3.5</v>
      </c>
      <c r="L16">
        <v>37.200000000000003</v>
      </c>
    </row>
    <row r="17" spans="1:12" x14ac:dyDescent="0.25">
      <c r="A17">
        <v>16</v>
      </c>
      <c r="B17" s="1">
        <v>45823.746458333335</v>
      </c>
      <c r="C17" t="s">
        <v>36</v>
      </c>
      <c r="D17">
        <v>39</v>
      </c>
      <c r="E17" t="s">
        <v>22</v>
      </c>
      <c r="F17" t="s">
        <v>23</v>
      </c>
      <c r="G17">
        <v>36</v>
      </c>
      <c r="H17">
        <v>345</v>
      </c>
      <c r="I17">
        <v>74</v>
      </c>
      <c r="J17">
        <v>19487</v>
      </c>
      <c r="K17">
        <v>8.4</v>
      </c>
      <c r="L17">
        <v>58</v>
      </c>
    </row>
    <row r="18" spans="1:12" x14ac:dyDescent="0.25">
      <c r="A18">
        <v>17</v>
      </c>
      <c r="B18" s="1">
        <v>45772.974930555552</v>
      </c>
      <c r="C18" t="s">
        <v>37</v>
      </c>
      <c r="D18">
        <v>42</v>
      </c>
      <c r="E18" t="s">
        <v>13</v>
      </c>
      <c r="F18" t="s">
        <v>23</v>
      </c>
      <c r="G18">
        <v>92</v>
      </c>
      <c r="H18">
        <v>158</v>
      </c>
      <c r="I18">
        <v>160</v>
      </c>
      <c r="J18">
        <v>15425</v>
      </c>
      <c r="K18">
        <v>3.3</v>
      </c>
      <c r="L18">
        <v>55</v>
      </c>
    </row>
    <row r="19" spans="1:12" x14ac:dyDescent="0.25">
      <c r="A19">
        <v>18</v>
      </c>
      <c r="B19" s="1">
        <v>45780.396458333336</v>
      </c>
      <c r="C19" t="s">
        <v>38</v>
      </c>
      <c r="D19">
        <v>55</v>
      </c>
      <c r="E19" t="s">
        <v>16</v>
      </c>
      <c r="F19" t="s">
        <v>14</v>
      </c>
      <c r="G19">
        <v>11</v>
      </c>
      <c r="H19">
        <v>420</v>
      </c>
      <c r="I19">
        <v>109</v>
      </c>
      <c r="J19">
        <v>11349</v>
      </c>
      <c r="K19">
        <v>3</v>
      </c>
      <c r="L19">
        <v>62.1</v>
      </c>
    </row>
    <row r="20" spans="1:12" x14ac:dyDescent="0.25">
      <c r="A20">
        <v>19</v>
      </c>
      <c r="B20" s="1">
        <v>45774.165902777779</v>
      </c>
      <c r="C20" t="s">
        <v>39</v>
      </c>
      <c r="D20">
        <v>68</v>
      </c>
      <c r="E20" t="s">
        <v>16</v>
      </c>
      <c r="F20" t="s">
        <v>23</v>
      </c>
      <c r="G20">
        <v>119</v>
      </c>
      <c r="H20">
        <v>287</v>
      </c>
      <c r="I20">
        <v>172</v>
      </c>
      <c r="J20">
        <v>18498</v>
      </c>
      <c r="K20">
        <v>3.3</v>
      </c>
      <c r="L20">
        <v>84.4</v>
      </c>
    </row>
    <row r="21" spans="1:12" x14ac:dyDescent="0.25">
      <c r="A21">
        <v>20</v>
      </c>
      <c r="B21" s="1">
        <v>45942.859652777777</v>
      </c>
      <c r="C21" t="s">
        <v>39</v>
      </c>
      <c r="D21">
        <v>58</v>
      </c>
      <c r="E21" t="s">
        <v>16</v>
      </c>
      <c r="F21" t="s">
        <v>25</v>
      </c>
      <c r="G21">
        <v>12</v>
      </c>
      <c r="H21">
        <v>152</v>
      </c>
      <c r="I21">
        <v>107</v>
      </c>
      <c r="J21">
        <v>10048</v>
      </c>
      <c r="K21">
        <v>9.4</v>
      </c>
      <c r="L21">
        <v>104.6</v>
      </c>
    </row>
    <row r="22" spans="1:12" x14ac:dyDescent="0.25">
      <c r="A22">
        <v>21</v>
      </c>
      <c r="B22" s="1">
        <v>45797.997152777774</v>
      </c>
      <c r="C22" t="s">
        <v>40</v>
      </c>
      <c r="D22">
        <v>31</v>
      </c>
      <c r="E22" t="s">
        <v>22</v>
      </c>
      <c r="F22" t="s">
        <v>20</v>
      </c>
      <c r="G22">
        <v>6</v>
      </c>
      <c r="H22">
        <v>416</v>
      </c>
      <c r="I22">
        <v>102</v>
      </c>
      <c r="J22">
        <v>7594</v>
      </c>
      <c r="K22">
        <v>7.8</v>
      </c>
      <c r="L22">
        <v>97.6</v>
      </c>
    </row>
    <row r="23" spans="1:12" x14ac:dyDescent="0.25">
      <c r="A23">
        <v>22</v>
      </c>
      <c r="B23" s="1">
        <v>45886.765902777777</v>
      </c>
      <c r="C23" t="s">
        <v>15</v>
      </c>
      <c r="D23">
        <v>19</v>
      </c>
      <c r="E23" t="s">
        <v>13</v>
      </c>
      <c r="F23" t="s">
        <v>41</v>
      </c>
      <c r="G23">
        <v>68</v>
      </c>
      <c r="H23">
        <v>244</v>
      </c>
      <c r="I23">
        <v>102</v>
      </c>
      <c r="J23">
        <v>21253</v>
      </c>
      <c r="K23">
        <v>6.7</v>
      </c>
      <c r="L23">
        <v>55.4</v>
      </c>
    </row>
    <row r="24" spans="1:12" x14ac:dyDescent="0.25">
      <c r="A24">
        <v>23</v>
      </c>
      <c r="B24" s="1">
        <v>45776.247152777774</v>
      </c>
      <c r="C24" t="s">
        <v>24</v>
      </c>
      <c r="D24">
        <v>53</v>
      </c>
      <c r="E24" t="s">
        <v>13</v>
      </c>
      <c r="F24" t="s">
        <v>25</v>
      </c>
      <c r="G24">
        <v>116</v>
      </c>
      <c r="H24">
        <v>151</v>
      </c>
      <c r="I24">
        <v>79</v>
      </c>
      <c r="J24">
        <v>23062</v>
      </c>
      <c r="K24">
        <v>5.9</v>
      </c>
      <c r="L24">
        <v>73.3</v>
      </c>
    </row>
    <row r="25" spans="1:12" x14ac:dyDescent="0.25">
      <c r="A25">
        <v>24</v>
      </c>
      <c r="B25" s="1">
        <v>45893.392291666663</v>
      </c>
      <c r="C25" t="s">
        <v>42</v>
      </c>
      <c r="D25">
        <v>51</v>
      </c>
      <c r="E25" t="s">
        <v>13</v>
      </c>
      <c r="F25" t="s">
        <v>17</v>
      </c>
      <c r="G25">
        <v>11</v>
      </c>
      <c r="H25">
        <v>134</v>
      </c>
      <c r="I25">
        <v>118</v>
      </c>
      <c r="J25">
        <v>15191</v>
      </c>
      <c r="K25">
        <v>7.7</v>
      </c>
      <c r="L25">
        <v>91.4</v>
      </c>
    </row>
    <row r="26" spans="1:12" x14ac:dyDescent="0.25">
      <c r="A26">
        <v>25</v>
      </c>
      <c r="B26" s="1">
        <v>45843.08048611111</v>
      </c>
      <c r="C26" t="s">
        <v>43</v>
      </c>
      <c r="D26">
        <v>69</v>
      </c>
      <c r="E26" t="s">
        <v>13</v>
      </c>
      <c r="F26" t="s">
        <v>14</v>
      </c>
      <c r="G26">
        <v>9</v>
      </c>
      <c r="H26">
        <v>108</v>
      </c>
      <c r="I26">
        <v>74</v>
      </c>
      <c r="J26">
        <v>24095</v>
      </c>
      <c r="K26">
        <v>5.8</v>
      </c>
      <c r="L26">
        <v>59.2</v>
      </c>
    </row>
    <row r="27" spans="1:12" x14ac:dyDescent="0.25">
      <c r="A27">
        <v>26</v>
      </c>
      <c r="B27" s="1">
        <v>45844.210347222222</v>
      </c>
      <c r="C27" t="s">
        <v>15</v>
      </c>
      <c r="D27">
        <v>45</v>
      </c>
      <c r="E27" t="s">
        <v>16</v>
      </c>
      <c r="F27" t="s">
        <v>25</v>
      </c>
      <c r="G27">
        <v>44</v>
      </c>
      <c r="H27">
        <v>308</v>
      </c>
      <c r="I27">
        <v>111</v>
      </c>
      <c r="J27">
        <v>13514</v>
      </c>
      <c r="K27">
        <v>9</v>
      </c>
      <c r="L27">
        <v>70</v>
      </c>
    </row>
    <row r="28" spans="1:12" x14ac:dyDescent="0.25">
      <c r="A28">
        <v>27</v>
      </c>
      <c r="B28" s="1">
        <v>45873.215902777774</v>
      </c>
      <c r="C28" t="s">
        <v>21</v>
      </c>
      <c r="D28">
        <v>38</v>
      </c>
      <c r="E28" t="s">
        <v>22</v>
      </c>
      <c r="F28" t="s">
        <v>23</v>
      </c>
      <c r="G28">
        <v>12</v>
      </c>
      <c r="H28">
        <v>50</v>
      </c>
      <c r="I28">
        <v>152</v>
      </c>
      <c r="J28">
        <v>22404</v>
      </c>
      <c r="K28">
        <v>4.5</v>
      </c>
      <c r="L28">
        <v>75.7</v>
      </c>
    </row>
    <row r="29" spans="1:12" x14ac:dyDescent="0.25">
      <c r="A29">
        <v>28</v>
      </c>
      <c r="B29" s="1">
        <v>45939.880486111113</v>
      </c>
      <c r="C29" t="s">
        <v>44</v>
      </c>
      <c r="D29">
        <v>27</v>
      </c>
      <c r="E29" t="s">
        <v>22</v>
      </c>
      <c r="F29" t="s">
        <v>17</v>
      </c>
      <c r="G29">
        <v>54</v>
      </c>
      <c r="H29">
        <v>50</v>
      </c>
      <c r="I29">
        <v>128</v>
      </c>
      <c r="J29">
        <v>2971</v>
      </c>
      <c r="K29">
        <v>3.2</v>
      </c>
      <c r="L29">
        <v>81.599999999999994</v>
      </c>
    </row>
    <row r="30" spans="1:12" x14ac:dyDescent="0.25">
      <c r="A30">
        <v>29</v>
      </c>
      <c r="B30" s="1">
        <v>45774.390208333331</v>
      </c>
      <c r="C30" t="s">
        <v>45</v>
      </c>
      <c r="D30">
        <v>61</v>
      </c>
      <c r="E30" t="s">
        <v>16</v>
      </c>
      <c r="F30" t="s">
        <v>20</v>
      </c>
      <c r="G30">
        <v>90</v>
      </c>
      <c r="H30">
        <v>146</v>
      </c>
      <c r="I30">
        <v>126</v>
      </c>
      <c r="J30">
        <v>18805</v>
      </c>
      <c r="K30">
        <v>8.1999999999999993</v>
      </c>
      <c r="L30">
        <v>70.5</v>
      </c>
    </row>
    <row r="31" spans="1:12" x14ac:dyDescent="0.25">
      <c r="A31">
        <v>30</v>
      </c>
      <c r="B31" s="1">
        <v>45940.50340277778</v>
      </c>
      <c r="C31" t="s">
        <v>29</v>
      </c>
      <c r="D31">
        <v>37</v>
      </c>
      <c r="E31" t="s">
        <v>16</v>
      </c>
      <c r="F31" t="s">
        <v>25</v>
      </c>
      <c r="G31">
        <v>102</v>
      </c>
      <c r="H31">
        <v>354</v>
      </c>
      <c r="I31">
        <v>90</v>
      </c>
      <c r="J31">
        <v>2868</v>
      </c>
      <c r="K31">
        <v>9.1</v>
      </c>
      <c r="L31">
        <v>68.7</v>
      </c>
    </row>
    <row r="32" spans="1:12" x14ac:dyDescent="0.25">
      <c r="A32">
        <v>31</v>
      </c>
      <c r="B32" s="1">
        <v>45885.274930555555</v>
      </c>
      <c r="C32" t="s">
        <v>46</v>
      </c>
      <c r="D32">
        <v>18</v>
      </c>
      <c r="E32" t="s">
        <v>22</v>
      </c>
      <c r="F32" t="s">
        <v>25</v>
      </c>
      <c r="G32">
        <v>18</v>
      </c>
      <c r="H32">
        <v>278</v>
      </c>
      <c r="I32">
        <v>151</v>
      </c>
      <c r="J32">
        <v>12665</v>
      </c>
      <c r="K32">
        <v>3.8</v>
      </c>
      <c r="L32">
        <v>37.6</v>
      </c>
    </row>
    <row r="33" spans="1:12" x14ac:dyDescent="0.25">
      <c r="A33">
        <v>32</v>
      </c>
      <c r="B33" s="1">
        <v>45842.291597222225</v>
      </c>
      <c r="C33" t="s">
        <v>12</v>
      </c>
      <c r="D33">
        <v>28</v>
      </c>
      <c r="E33" t="s">
        <v>16</v>
      </c>
      <c r="F33" t="s">
        <v>27</v>
      </c>
      <c r="G33">
        <v>85</v>
      </c>
      <c r="H33">
        <v>211</v>
      </c>
      <c r="I33">
        <v>138</v>
      </c>
      <c r="J33">
        <v>17304</v>
      </c>
      <c r="K33">
        <v>8.9</v>
      </c>
      <c r="L33">
        <v>82.6</v>
      </c>
    </row>
    <row r="34" spans="1:12" x14ac:dyDescent="0.25">
      <c r="A34">
        <v>33</v>
      </c>
      <c r="B34" s="1">
        <v>45827.860347222224</v>
      </c>
      <c r="C34" t="s">
        <v>47</v>
      </c>
      <c r="D34">
        <v>42</v>
      </c>
      <c r="E34" t="s">
        <v>16</v>
      </c>
      <c r="F34" t="s">
        <v>23</v>
      </c>
      <c r="G34">
        <v>69</v>
      </c>
      <c r="H34">
        <v>368</v>
      </c>
      <c r="I34">
        <v>104</v>
      </c>
      <c r="J34">
        <v>3733</v>
      </c>
      <c r="K34">
        <v>5.4</v>
      </c>
      <c r="L34">
        <v>73.400000000000006</v>
      </c>
    </row>
    <row r="35" spans="1:12" x14ac:dyDescent="0.25">
      <c r="A35">
        <v>34</v>
      </c>
      <c r="B35" s="1">
        <v>45779.620763888888</v>
      </c>
      <c r="C35" t="s">
        <v>48</v>
      </c>
      <c r="D35">
        <v>66</v>
      </c>
      <c r="E35" t="s">
        <v>16</v>
      </c>
      <c r="F35" t="s">
        <v>27</v>
      </c>
      <c r="G35">
        <v>92</v>
      </c>
      <c r="H35">
        <v>405</v>
      </c>
      <c r="I35">
        <v>70</v>
      </c>
      <c r="J35">
        <v>6276</v>
      </c>
      <c r="K35">
        <v>7.5</v>
      </c>
      <c r="L35">
        <v>72</v>
      </c>
    </row>
    <row r="36" spans="1:12" x14ac:dyDescent="0.25">
      <c r="A36">
        <v>35</v>
      </c>
      <c r="B36" s="1">
        <v>45860.357569444444</v>
      </c>
      <c r="C36" t="s">
        <v>18</v>
      </c>
      <c r="D36">
        <v>66</v>
      </c>
      <c r="E36" t="s">
        <v>16</v>
      </c>
      <c r="F36" t="s">
        <v>23</v>
      </c>
      <c r="G36">
        <v>39</v>
      </c>
      <c r="H36">
        <v>205</v>
      </c>
      <c r="I36">
        <v>115</v>
      </c>
      <c r="J36">
        <v>15363</v>
      </c>
      <c r="K36">
        <v>7.2</v>
      </c>
      <c r="L36">
        <v>70.7</v>
      </c>
    </row>
    <row r="37" spans="1:12" x14ac:dyDescent="0.25">
      <c r="A37">
        <v>36</v>
      </c>
      <c r="B37" s="1">
        <v>45909.854097222225</v>
      </c>
      <c r="C37" t="s">
        <v>46</v>
      </c>
      <c r="D37">
        <v>19</v>
      </c>
      <c r="E37" t="s">
        <v>22</v>
      </c>
      <c r="F37" t="s">
        <v>27</v>
      </c>
      <c r="G37">
        <v>36</v>
      </c>
      <c r="H37">
        <v>50</v>
      </c>
      <c r="I37">
        <v>117</v>
      </c>
      <c r="J37">
        <v>13377</v>
      </c>
      <c r="K37">
        <v>8.9</v>
      </c>
      <c r="L37">
        <v>94.3</v>
      </c>
    </row>
    <row r="38" spans="1:12" x14ac:dyDescent="0.25">
      <c r="A38">
        <v>37</v>
      </c>
      <c r="B38" s="1">
        <v>45917.812430555554</v>
      </c>
      <c r="C38" t="s">
        <v>30</v>
      </c>
      <c r="D38">
        <v>66</v>
      </c>
      <c r="E38" t="s">
        <v>16</v>
      </c>
      <c r="F38" t="s">
        <v>27</v>
      </c>
      <c r="G38">
        <v>88</v>
      </c>
      <c r="H38">
        <v>476</v>
      </c>
      <c r="I38">
        <v>163</v>
      </c>
      <c r="J38">
        <v>19495</v>
      </c>
      <c r="K38">
        <v>8.9</v>
      </c>
      <c r="L38">
        <v>78.7</v>
      </c>
    </row>
    <row r="39" spans="1:12" x14ac:dyDescent="0.25">
      <c r="A39">
        <v>38</v>
      </c>
      <c r="B39" s="1">
        <v>45807.227013888885</v>
      </c>
      <c r="C39" t="s">
        <v>49</v>
      </c>
      <c r="D39">
        <v>63</v>
      </c>
      <c r="E39" t="s">
        <v>22</v>
      </c>
      <c r="F39" t="s">
        <v>25</v>
      </c>
      <c r="G39">
        <v>109</v>
      </c>
      <c r="H39">
        <v>50</v>
      </c>
      <c r="I39">
        <v>179</v>
      </c>
      <c r="J39">
        <v>13263</v>
      </c>
      <c r="K39">
        <v>3.6</v>
      </c>
      <c r="L39">
        <v>71.3</v>
      </c>
    </row>
    <row r="40" spans="1:12" x14ac:dyDescent="0.25">
      <c r="A40">
        <v>39</v>
      </c>
      <c r="B40" s="1">
        <v>45795.522847222222</v>
      </c>
      <c r="C40" t="s">
        <v>50</v>
      </c>
      <c r="D40">
        <v>16</v>
      </c>
      <c r="E40" t="s">
        <v>22</v>
      </c>
      <c r="F40" t="s">
        <v>41</v>
      </c>
      <c r="G40">
        <v>45</v>
      </c>
      <c r="H40">
        <v>337</v>
      </c>
      <c r="I40">
        <v>63</v>
      </c>
      <c r="J40">
        <v>14571</v>
      </c>
      <c r="K40">
        <v>3.4</v>
      </c>
      <c r="L40">
        <v>56.4</v>
      </c>
    </row>
    <row r="41" spans="1:12" x14ac:dyDescent="0.25">
      <c r="A41">
        <v>40</v>
      </c>
      <c r="B41" s="1">
        <v>45870.695069444446</v>
      </c>
      <c r="C41" t="s">
        <v>36</v>
      </c>
      <c r="D41">
        <v>66</v>
      </c>
      <c r="E41" t="s">
        <v>13</v>
      </c>
      <c r="F41" t="s">
        <v>20</v>
      </c>
      <c r="G41">
        <v>96</v>
      </c>
      <c r="H41">
        <v>367</v>
      </c>
      <c r="I41">
        <v>170</v>
      </c>
      <c r="J41">
        <v>7481</v>
      </c>
      <c r="K41">
        <v>3.1</v>
      </c>
      <c r="L41">
        <v>66.7</v>
      </c>
    </row>
    <row r="42" spans="1:12" x14ac:dyDescent="0.25">
      <c r="A42">
        <v>41</v>
      </c>
      <c r="B42" s="1">
        <v>45905.522152777776</v>
      </c>
      <c r="C42" t="s">
        <v>51</v>
      </c>
      <c r="D42">
        <v>49</v>
      </c>
      <c r="E42" t="s">
        <v>22</v>
      </c>
      <c r="F42" t="s">
        <v>25</v>
      </c>
      <c r="G42">
        <v>51</v>
      </c>
      <c r="H42">
        <v>208</v>
      </c>
      <c r="I42">
        <v>83</v>
      </c>
      <c r="J42">
        <v>14060</v>
      </c>
      <c r="K42">
        <v>8.1</v>
      </c>
      <c r="L42">
        <v>92.9</v>
      </c>
    </row>
    <row r="43" spans="1:12" x14ac:dyDescent="0.25">
      <c r="A43">
        <v>42</v>
      </c>
      <c r="B43" s="1">
        <v>45872.189513888887</v>
      </c>
      <c r="C43" t="s">
        <v>44</v>
      </c>
      <c r="D43">
        <v>52</v>
      </c>
      <c r="E43" t="s">
        <v>16</v>
      </c>
      <c r="F43" t="s">
        <v>23</v>
      </c>
      <c r="G43">
        <v>98</v>
      </c>
      <c r="H43">
        <v>432</v>
      </c>
      <c r="I43">
        <v>165</v>
      </c>
      <c r="J43">
        <v>14201</v>
      </c>
      <c r="K43">
        <v>8.1</v>
      </c>
      <c r="L43">
        <v>63</v>
      </c>
    </row>
    <row r="44" spans="1:12" x14ac:dyDescent="0.25">
      <c r="A44">
        <v>43</v>
      </c>
      <c r="B44" s="1">
        <v>45838.070763888885</v>
      </c>
      <c r="C44" t="s">
        <v>52</v>
      </c>
      <c r="D44">
        <v>32</v>
      </c>
      <c r="E44" t="s">
        <v>13</v>
      </c>
      <c r="F44" t="s">
        <v>17</v>
      </c>
      <c r="G44">
        <v>40</v>
      </c>
      <c r="H44">
        <v>392</v>
      </c>
      <c r="I44">
        <v>94</v>
      </c>
      <c r="J44">
        <v>9614</v>
      </c>
      <c r="K44">
        <v>9.1</v>
      </c>
      <c r="L44">
        <v>46.1</v>
      </c>
    </row>
    <row r="45" spans="1:12" x14ac:dyDescent="0.25">
      <c r="A45">
        <v>44</v>
      </c>
      <c r="B45" s="1">
        <v>45941.709652777776</v>
      </c>
      <c r="C45" t="s">
        <v>52</v>
      </c>
      <c r="D45">
        <v>20</v>
      </c>
      <c r="E45" t="s">
        <v>22</v>
      </c>
      <c r="F45" t="s">
        <v>25</v>
      </c>
      <c r="G45">
        <v>95</v>
      </c>
      <c r="H45">
        <v>460</v>
      </c>
      <c r="I45">
        <v>77</v>
      </c>
      <c r="J45">
        <v>12186</v>
      </c>
      <c r="K45">
        <v>8.5</v>
      </c>
      <c r="L45">
        <v>68.099999999999994</v>
      </c>
    </row>
    <row r="46" spans="1:12" x14ac:dyDescent="0.25">
      <c r="A46">
        <v>45</v>
      </c>
      <c r="B46" s="1">
        <v>45938.391597222224</v>
      </c>
      <c r="C46" t="s">
        <v>51</v>
      </c>
      <c r="D46">
        <v>36</v>
      </c>
      <c r="E46" t="s">
        <v>13</v>
      </c>
      <c r="F46" t="s">
        <v>27</v>
      </c>
      <c r="G46">
        <v>79</v>
      </c>
      <c r="H46">
        <v>530</v>
      </c>
      <c r="I46">
        <v>127</v>
      </c>
      <c r="J46">
        <v>5597</v>
      </c>
      <c r="K46">
        <v>6.8</v>
      </c>
      <c r="L46">
        <v>77.3</v>
      </c>
    </row>
    <row r="47" spans="1:12" x14ac:dyDescent="0.25">
      <c r="A47">
        <v>46</v>
      </c>
      <c r="B47" s="1">
        <v>45831.499236111114</v>
      </c>
      <c r="C47" t="s">
        <v>53</v>
      </c>
      <c r="D47">
        <v>56</v>
      </c>
      <c r="E47" t="s">
        <v>16</v>
      </c>
      <c r="F47" t="s">
        <v>41</v>
      </c>
      <c r="G47">
        <v>34</v>
      </c>
      <c r="H47">
        <v>269</v>
      </c>
      <c r="I47">
        <v>140</v>
      </c>
      <c r="J47">
        <v>12383</v>
      </c>
      <c r="K47">
        <v>6.8</v>
      </c>
      <c r="L47">
        <v>51.7</v>
      </c>
    </row>
    <row r="48" spans="1:12" x14ac:dyDescent="0.25">
      <c r="A48">
        <v>47</v>
      </c>
      <c r="B48" s="1">
        <v>45835.917291666665</v>
      </c>
      <c r="C48" t="s">
        <v>54</v>
      </c>
      <c r="D48">
        <v>62</v>
      </c>
      <c r="E48" t="s">
        <v>13</v>
      </c>
      <c r="F48" t="s">
        <v>20</v>
      </c>
      <c r="G48">
        <v>67</v>
      </c>
      <c r="H48">
        <v>230</v>
      </c>
      <c r="I48">
        <v>93</v>
      </c>
      <c r="J48">
        <v>24968</v>
      </c>
      <c r="K48">
        <v>4.8</v>
      </c>
      <c r="L48">
        <v>66.599999999999994</v>
      </c>
    </row>
    <row r="49" spans="1:12" x14ac:dyDescent="0.25">
      <c r="A49">
        <v>48</v>
      </c>
      <c r="B49" s="1">
        <v>45900.766597222224</v>
      </c>
      <c r="C49" t="s">
        <v>55</v>
      </c>
      <c r="D49">
        <v>46</v>
      </c>
      <c r="E49" t="s">
        <v>13</v>
      </c>
      <c r="F49" t="s">
        <v>14</v>
      </c>
      <c r="G49">
        <v>24</v>
      </c>
      <c r="H49">
        <v>330</v>
      </c>
      <c r="I49">
        <v>134</v>
      </c>
      <c r="J49">
        <v>14863</v>
      </c>
      <c r="K49">
        <v>3.9</v>
      </c>
      <c r="L49">
        <v>85</v>
      </c>
    </row>
    <row r="50" spans="1:12" x14ac:dyDescent="0.25">
      <c r="A50">
        <v>49</v>
      </c>
      <c r="B50" s="1">
        <v>45838.259652777779</v>
      </c>
      <c r="C50" t="s">
        <v>31</v>
      </c>
      <c r="D50">
        <v>17</v>
      </c>
      <c r="E50" t="s">
        <v>13</v>
      </c>
      <c r="F50" t="s">
        <v>41</v>
      </c>
      <c r="G50">
        <v>21</v>
      </c>
      <c r="H50">
        <v>545</v>
      </c>
      <c r="I50">
        <v>173</v>
      </c>
      <c r="J50">
        <v>5906</v>
      </c>
      <c r="K50">
        <v>5.2</v>
      </c>
      <c r="L50">
        <v>76.400000000000006</v>
      </c>
    </row>
    <row r="51" spans="1:12" x14ac:dyDescent="0.25">
      <c r="A51">
        <v>50</v>
      </c>
      <c r="B51" s="1">
        <v>45891.527013888888</v>
      </c>
      <c r="C51" t="s">
        <v>49</v>
      </c>
      <c r="D51">
        <v>49</v>
      </c>
      <c r="E51" t="s">
        <v>13</v>
      </c>
      <c r="F51" t="s">
        <v>20</v>
      </c>
      <c r="G51">
        <v>62</v>
      </c>
      <c r="H51">
        <v>322</v>
      </c>
      <c r="I51">
        <v>121</v>
      </c>
      <c r="J51">
        <v>19652</v>
      </c>
      <c r="K51">
        <v>9.4</v>
      </c>
      <c r="L51">
        <v>61.7</v>
      </c>
    </row>
    <row r="52" spans="1:12" x14ac:dyDescent="0.25">
      <c r="A52">
        <v>51</v>
      </c>
      <c r="B52" s="1">
        <v>45824.706180555557</v>
      </c>
      <c r="C52" t="s">
        <v>56</v>
      </c>
      <c r="D52">
        <v>27</v>
      </c>
      <c r="E52" t="s">
        <v>22</v>
      </c>
      <c r="F52" t="s">
        <v>20</v>
      </c>
      <c r="G52">
        <v>105</v>
      </c>
      <c r="H52">
        <v>389</v>
      </c>
      <c r="I52">
        <v>68</v>
      </c>
      <c r="J52">
        <v>17788</v>
      </c>
      <c r="K52">
        <v>3.7</v>
      </c>
      <c r="L52">
        <v>84.5</v>
      </c>
    </row>
    <row r="53" spans="1:12" x14ac:dyDescent="0.25">
      <c r="A53">
        <v>52</v>
      </c>
      <c r="B53" s="1">
        <v>45912.406180555554</v>
      </c>
      <c r="C53" t="s">
        <v>28</v>
      </c>
      <c r="D53">
        <v>66</v>
      </c>
      <c r="E53" t="s">
        <v>13</v>
      </c>
      <c r="F53" t="s">
        <v>25</v>
      </c>
      <c r="G53">
        <v>71</v>
      </c>
      <c r="H53">
        <v>394</v>
      </c>
      <c r="I53">
        <v>131</v>
      </c>
      <c r="J53">
        <v>10145</v>
      </c>
      <c r="K53">
        <v>5.7</v>
      </c>
      <c r="L53">
        <v>41.5</v>
      </c>
    </row>
    <row r="54" spans="1:12" x14ac:dyDescent="0.25">
      <c r="A54">
        <v>53</v>
      </c>
      <c r="B54" s="1">
        <v>45883.117291666669</v>
      </c>
      <c r="C54" t="s">
        <v>18</v>
      </c>
      <c r="D54">
        <v>64</v>
      </c>
      <c r="E54" t="s">
        <v>13</v>
      </c>
      <c r="F54" t="s">
        <v>41</v>
      </c>
      <c r="G54">
        <v>45</v>
      </c>
      <c r="H54">
        <v>84</v>
      </c>
      <c r="I54">
        <v>108</v>
      </c>
      <c r="J54">
        <v>8434</v>
      </c>
      <c r="K54">
        <v>4.5999999999999996</v>
      </c>
      <c r="L54">
        <v>77.3</v>
      </c>
    </row>
    <row r="55" spans="1:12" x14ac:dyDescent="0.25">
      <c r="A55">
        <v>54</v>
      </c>
      <c r="B55" s="1">
        <v>45898.139513888891</v>
      </c>
      <c r="C55" t="s">
        <v>49</v>
      </c>
      <c r="D55">
        <v>40</v>
      </c>
      <c r="E55" t="s">
        <v>16</v>
      </c>
      <c r="F55" t="s">
        <v>23</v>
      </c>
      <c r="G55">
        <v>38</v>
      </c>
      <c r="H55">
        <v>401</v>
      </c>
      <c r="I55">
        <v>167</v>
      </c>
      <c r="J55">
        <v>6688</v>
      </c>
      <c r="K55">
        <v>5.8</v>
      </c>
      <c r="L55">
        <v>65.900000000000006</v>
      </c>
    </row>
    <row r="56" spans="1:12" x14ac:dyDescent="0.25">
      <c r="A56">
        <v>55</v>
      </c>
      <c r="B56" s="1">
        <v>45937.780486111114</v>
      </c>
      <c r="C56" t="s">
        <v>57</v>
      </c>
      <c r="D56">
        <v>42</v>
      </c>
      <c r="E56" t="s">
        <v>22</v>
      </c>
      <c r="F56" t="s">
        <v>20</v>
      </c>
      <c r="G56">
        <v>119</v>
      </c>
      <c r="H56">
        <v>390</v>
      </c>
      <c r="I56">
        <v>145</v>
      </c>
      <c r="J56">
        <v>18641</v>
      </c>
      <c r="K56">
        <v>8.6999999999999993</v>
      </c>
      <c r="L56">
        <v>85.3</v>
      </c>
    </row>
    <row r="57" spans="1:12" x14ac:dyDescent="0.25">
      <c r="A57">
        <v>56</v>
      </c>
      <c r="B57" s="1">
        <v>45934.716597222221</v>
      </c>
      <c r="C57" t="s">
        <v>33</v>
      </c>
      <c r="D57">
        <v>60</v>
      </c>
      <c r="E57" t="s">
        <v>13</v>
      </c>
      <c r="F57" t="s">
        <v>17</v>
      </c>
      <c r="G57">
        <v>29</v>
      </c>
      <c r="H57">
        <v>504</v>
      </c>
      <c r="I57">
        <v>100</v>
      </c>
      <c r="J57">
        <v>20785</v>
      </c>
      <c r="K57">
        <v>3</v>
      </c>
      <c r="L57">
        <v>74.7</v>
      </c>
    </row>
    <row r="58" spans="1:12" x14ac:dyDescent="0.25">
      <c r="A58">
        <v>57</v>
      </c>
      <c r="B58" s="1">
        <v>45900.227013888885</v>
      </c>
      <c r="C58" t="s">
        <v>38</v>
      </c>
      <c r="D58">
        <v>37</v>
      </c>
      <c r="E58" t="s">
        <v>13</v>
      </c>
      <c r="F58" t="s">
        <v>41</v>
      </c>
      <c r="G58">
        <v>50</v>
      </c>
      <c r="H58">
        <v>461</v>
      </c>
      <c r="I58">
        <v>61</v>
      </c>
      <c r="J58">
        <v>14982</v>
      </c>
      <c r="K58">
        <v>5.8</v>
      </c>
      <c r="L58">
        <v>105.2</v>
      </c>
    </row>
    <row r="59" spans="1:12" x14ac:dyDescent="0.25">
      <c r="A59">
        <v>58</v>
      </c>
      <c r="B59" s="1">
        <v>45807.757569444446</v>
      </c>
      <c r="C59" t="s">
        <v>30</v>
      </c>
      <c r="D59">
        <v>43</v>
      </c>
      <c r="E59" t="s">
        <v>22</v>
      </c>
      <c r="F59" t="s">
        <v>14</v>
      </c>
      <c r="G59">
        <v>41</v>
      </c>
      <c r="H59">
        <v>306</v>
      </c>
      <c r="I59">
        <v>85</v>
      </c>
      <c r="J59">
        <v>23231</v>
      </c>
      <c r="K59">
        <v>8.8000000000000007</v>
      </c>
      <c r="L59">
        <v>83.5</v>
      </c>
    </row>
    <row r="60" spans="1:12" x14ac:dyDescent="0.25">
      <c r="A60">
        <v>59</v>
      </c>
      <c r="B60" s="1">
        <v>45862.094375000001</v>
      </c>
      <c r="C60" t="s">
        <v>24</v>
      </c>
      <c r="D60">
        <v>42</v>
      </c>
      <c r="E60" t="s">
        <v>16</v>
      </c>
      <c r="F60" t="s">
        <v>23</v>
      </c>
      <c r="G60">
        <v>68</v>
      </c>
      <c r="H60">
        <v>406</v>
      </c>
      <c r="I60">
        <v>61</v>
      </c>
      <c r="J60">
        <v>1267</v>
      </c>
      <c r="K60">
        <v>4.0999999999999996</v>
      </c>
      <c r="L60">
        <v>42.7</v>
      </c>
    </row>
    <row r="61" spans="1:12" x14ac:dyDescent="0.25">
      <c r="A61">
        <v>60</v>
      </c>
      <c r="B61" s="1">
        <v>45943.263124999998</v>
      </c>
      <c r="C61" t="s">
        <v>12</v>
      </c>
      <c r="D61">
        <v>50</v>
      </c>
      <c r="E61" t="s">
        <v>16</v>
      </c>
      <c r="F61" t="s">
        <v>17</v>
      </c>
      <c r="G61">
        <v>69</v>
      </c>
      <c r="H61">
        <v>366</v>
      </c>
      <c r="I61">
        <v>157</v>
      </c>
      <c r="J61">
        <v>17523</v>
      </c>
      <c r="K61">
        <v>9</v>
      </c>
      <c r="L61">
        <v>83.2</v>
      </c>
    </row>
    <row r="62" spans="1:12" x14ac:dyDescent="0.25">
      <c r="A62">
        <v>61</v>
      </c>
      <c r="B62" s="1">
        <v>45795.167986111112</v>
      </c>
      <c r="C62" t="s">
        <v>43</v>
      </c>
      <c r="D62">
        <v>54</v>
      </c>
      <c r="E62" t="s">
        <v>13</v>
      </c>
      <c r="F62" t="s">
        <v>41</v>
      </c>
      <c r="G62">
        <v>42</v>
      </c>
      <c r="H62">
        <v>225</v>
      </c>
      <c r="I62">
        <v>138</v>
      </c>
      <c r="J62">
        <v>18315</v>
      </c>
      <c r="K62">
        <v>7.6</v>
      </c>
      <c r="L62">
        <v>78.900000000000006</v>
      </c>
    </row>
    <row r="63" spans="1:12" x14ac:dyDescent="0.25">
      <c r="A63">
        <v>62</v>
      </c>
      <c r="B63" s="1">
        <v>45871.308263888888</v>
      </c>
      <c r="C63" t="s">
        <v>33</v>
      </c>
      <c r="D63">
        <v>43</v>
      </c>
      <c r="E63" t="s">
        <v>16</v>
      </c>
      <c r="F63" t="s">
        <v>20</v>
      </c>
      <c r="G63">
        <v>102</v>
      </c>
      <c r="H63">
        <v>289</v>
      </c>
      <c r="I63">
        <v>121</v>
      </c>
      <c r="J63">
        <v>14515</v>
      </c>
      <c r="K63">
        <v>3.3</v>
      </c>
      <c r="L63">
        <v>64.5</v>
      </c>
    </row>
    <row r="64" spans="1:12" x14ac:dyDescent="0.25">
      <c r="A64">
        <v>63</v>
      </c>
      <c r="B64" s="1">
        <v>45909.262430555558</v>
      </c>
      <c r="C64" t="s">
        <v>58</v>
      </c>
      <c r="D64">
        <v>42</v>
      </c>
      <c r="E64" t="s">
        <v>13</v>
      </c>
      <c r="F64" t="s">
        <v>27</v>
      </c>
      <c r="G64">
        <v>78</v>
      </c>
      <c r="H64">
        <v>194</v>
      </c>
      <c r="I64">
        <v>88</v>
      </c>
      <c r="J64">
        <v>1872</v>
      </c>
      <c r="K64">
        <v>3.2</v>
      </c>
      <c r="L64">
        <v>77.599999999999994</v>
      </c>
    </row>
    <row r="65" spans="1:12" x14ac:dyDescent="0.25">
      <c r="A65">
        <v>64</v>
      </c>
      <c r="B65" s="1">
        <v>45848.182569444441</v>
      </c>
      <c r="C65" t="s">
        <v>55</v>
      </c>
      <c r="D65">
        <v>54</v>
      </c>
      <c r="E65" t="s">
        <v>16</v>
      </c>
      <c r="F65" t="s">
        <v>17</v>
      </c>
      <c r="G65">
        <v>66</v>
      </c>
      <c r="H65">
        <v>387</v>
      </c>
      <c r="I65">
        <v>89</v>
      </c>
      <c r="J65">
        <v>12521</v>
      </c>
      <c r="K65">
        <v>6.5</v>
      </c>
      <c r="L65">
        <v>58</v>
      </c>
    </row>
    <row r="66" spans="1:12" x14ac:dyDescent="0.25">
      <c r="A66">
        <v>65</v>
      </c>
      <c r="B66" s="1">
        <v>45815.086736111109</v>
      </c>
      <c r="C66" t="s">
        <v>32</v>
      </c>
      <c r="D66">
        <v>20</v>
      </c>
      <c r="E66" t="s">
        <v>13</v>
      </c>
      <c r="F66" t="s">
        <v>14</v>
      </c>
      <c r="G66">
        <v>29</v>
      </c>
      <c r="H66">
        <v>226</v>
      </c>
      <c r="I66">
        <v>85</v>
      </c>
      <c r="J66">
        <v>6060</v>
      </c>
      <c r="K66">
        <v>6.8</v>
      </c>
      <c r="L66">
        <v>68.5</v>
      </c>
    </row>
    <row r="67" spans="1:12" x14ac:dyDescent="0.25">
      <c r="A67">
        <v>66</v>
      </c>
      <c r="B67" s="1">
        <v>45824.64298611111</v>
      </c>
      <c r="C67" t="s">
        <v>26</v>
      </c>
      <c r="D67">
        <v>60</v>
      </c>
      <c r="E67" t="s">
        <v>16</v>
      </c>
      <c r="F67" t="s">
        <v>41</v>
      </c>
      <c r="G67">
        <v>119</v>
      </c>
      <c r="H67">
        <v>353</v>
      </c>
      <c r="I67">
        <v>165</v>
      </c>
      <c r="J67">
        <v>1281</v>
      </c>
      <c r="K67">
        <v>9.4</v>
      </c>
      <c r="L67">
        <v>78.8</v>
      </c>
    </row>
    <row r="68" spans="1:12" x14ac:dyDescent="0.25">
      <c r="A68">
        <v>67</v>
      </c>
      <c r="B68" s="1">
        <v>45814.515208333331</v>
      </c>
      <c r="C68" t="s">
        <v>19</v>
      </c>
      <c r="D68">
        <v>68</v>
      </c>
      <c r="E68" t="s">
        <v>13</v>
      </c>
      <c r="F68" t="s">
        <v>23</v>
      </c>
      <c r="G68">
        <v>81</v>
      </c>
      <c r="H68">
        <v>426</v>
      </c>
      <c r="I68">
        <v>159</v>
      </c>
      <c r="J68">
        <v>370</v>
      </c>
      <c r="K68">
        <v>5.0999999999999996</v>
      </c>
      <c r="L68">
        <v>87.5</v>
      </c>
    </row>
    <row r="69" spans="1:12" x14ac:dyDescent="0.25">
      <c r="A69">
        <v>68</v>
      </c>
      <c r="B69" s="1">
        <v>45819.072152777779</v>
      </c>
      <c r="C69" t="s">
        <v>59</v>
      </c>
      <c r="D69">
        <v>63</v>
      </c>
      <c r="E69" t="s">
        <v>22</v>
      </c>
      <c r="F69" t="s">
        <v>14</v>
      </c>
      <c r="G69">
        <v>38</v>
      </c>
      <c r="H69">
        <v>120</v>
      </c>
      <c r="I69">
        <v>76</v>
      </c>
      <c r="J69">
        <v>16779</v>
      </c>
      <c r="K69">
        <v>8.5</v>
      </c>
      <c r="L69">
        <v>80.400000000000006</v>
      </c>
    </row>
    <row r="70" spans="1:12" x14ac:dyDescent="0.25">
      <c r="A70">
        <v>69</v>
      </c>
      <c r="B70" s="1">
        <v>45821.740208333336</v>
      </c>
      <c r="C70" t="s">
        <v>54</v>
      </c>
      <c r="D70">
        <v>36</v>
      </c>
      <c r="E70" t="s">
        <v>16</v>
      </c>
      <c r="F70" t="s">
        <v>41</v>
      </c>
      <c r="G70">
        <v>117</v>
      </c>
      <c r="H70">
        <v>389</v>
      </c>
      <c r="I70">
        <v>142</v>
      </c>
      <c r="J70">
        <v>721</v>
      </c>
      <c r="K70">
        <v>6.5</v>
      </c>
      <c r="L70">
        <v>75.099999999999994</v>
      </c>
    </row>
    <row r="71" spans="1:12" x14ac:dyDescent="0.25">
      <c r="A71">
        <v>70</v>
      </c>
      <c r="B71" s="1">
        <v>45931.210347222222</v>
      </c>
      <c r="C71" t="s">
        <v>55</v>
      </c>
      <c r="D71">
        <v>51</v>
      </c>
      <c r="E71" t="s">
        <v>16</v>
      </c>
      <c r="F71" t="s">
        <v>25</v>
      </c>
      <c r="G71">
        <v>13</v>
      </c>
      <c r="H71">
        <v>192</v>
      </c>
      <c r="I71">
        <v>62</v>
      </c>
      <c r="J71">
        <v>15423</v>
      </c>
      <c r="K71">
        <v>3.3</v>
      </c>
      <c r="L71">
        <v>102.3</v>
      </c>
    </row>
    <row r="72" spans="1:12" x14ac:dyDescent="0.25">
      <c r="A72">
        <v>71</v>
      </c>
      <c r="B72" s="1">
        <v>45924.36451388889</v>
      </c>
      <c r="C72" t="s">
        <v>15</v>
      </c>
      <c r="D72">
        <v>32</v>
      </c>
      <c r="E72" t="s">
        <v>22</v>
      </c>
      <c r="F72" t="s">
        <v>17</v>
      </c>
      <c r="G72">
        <v>83</v>
      </c>
      <c r="H72">
        <v>330</v>
      </c>
      <c r="I72">
        <v>168</v>
      </c>
      <c r="J72">
        <v>8432</v>
      </c>
      <c r="K72">
        <v>6.3</v>
      </c>
      <c r="L72">
        <v>53.7</v>
      </c>
    </row>
    <row r="73" spans="1:12" x14ac:dyDescent="0.25">
      <c r="A73">
        <v>72</v>
      </c>
      <c r="B73" s="1">
        <v>45813.388124999998</v>
      </c>
      <c r="C73" t="s">
        <v>33</v>
      </c>
      <c r="D73">
        <v>60</v>
      </c>
      <c r="E73" t="s">
        <v>16</v>
      </c>
      <c r="F73" t="s">
        <v>20</v>
      </c>
      <c r="G73">
        <v>116</v>
      </c>
      <c r="H73">
        <v>433</v>
      </c>
      <c r="I73">
        <v>95</v>
      </c>
      <c r="J73">
        <v>16232</v>
      </c>
      <c r="K73">
        <v>6.8</v>
      </c>
      <c r="L73">
        <v>78.099999999999994</v>
      </c>
    </row>
    <row r="74" spans="1:12" x14ac:dyDescent="0.25">
      <c r="A74">
        <v>73</v>
      </c>
      <c r="B74" s="1">
        <v>45934.012430555558</v>
      </c>
      <c r="C74" t="s">
        <v>60</v>
      </c>
      <c r="D74">
        <v>60</v>
      </c>
      <c r="E74" t="s">
        <v>13</v>
      </c>
      <c r="F74" t="s">
        <v>20</v>
      </c>
      <c r="G74">
        <v>73</v>
      </c>
      <c r="H74">
        <v>224</v>
      </c>
      <c r="I74">
        <v>128</v>
      </c>
      <c r="J74">
        <v>22440</v>
      </c>
      <c r="K74">
        <v>3.6</v>
      </c>
      <c r="L74">
        <v>54.8</v>
      </c>
    </row>
    <row r="75" spans="1:12" x14ac:dyDescent="0.25">
      <c r="A75">
        <v>74</v>
      </c>
      <c r="B75" s="1">
        <v>45807.966597222221</v>
      </c>
      <c r="C75" t="s">
        <v>52</v>
      </c>
      <c r="D75">
        <v>37</v>
      </c>
      <c r="E75" t="s">
        <v>16</v>
      </c>
      <c r="F75" t="s">
        <v>20</v>
      </c>
      <c r="G75">
        <v>112</v>
      </c>
      <c r="H75">
        <v>188</v>
      </c>
      <c r="I75">
        <v>102</v>
      </c>
      <c r="J75">
        <v>20883</v>
      </c>
      <c r="K75">
        <v>4.8</v>
      </c>
      <c r="L75">
        <v>82.7</v>
      </c>
    </row>
    <row r="76" spans="1:12" x14ac:dyDescent="0.25">
      <c r="A76">
        <v>75</v>
      </c>
      <c r="B76" s="1">
        <v>45932.217291666668</v>
      </c>
      <c r="C76" t="s">
        <v>26</v>
      </c>
      <c r="D76">
        <v>44</v>
      </c>
      <c r="E76" t="s">
        <v>16</v>
      </c>
      <c r="F76" t="s">
        <v>23</v>
      </c>
      <c r="G76">
        <v>19</v>
      </c>
      <c r="H76">
        <v>224</v>
      </c>
      <c r="I76">
        <v>158</v>
      </c>
      <c r="J76">
        <v>15358</v>
      </c>
      <c r="K76">
        <v>6.3</v>
      </c>
      <c r="L76">
        <v>53.5</v>
      </c>
    </row>
    <row r="77" spans="1:12" x14ac:dyDescent="0.25">
      <c r="A77">
        <v>76</v>
      </c>
      <c r="B77" s="1">
        <v>45793.105486111112</v>
      </c>
      <c r="C77" t="s">
        <v>37</v>
      </c>
      <c r="D77">
        <v>50</v>
      </c>
      <c r="E77" t="s">
        <v>13</v>
      </c>
      <c r="F77" t="s">
        <v>41</v>
      </c>
      <c r="G77">
        <v>10</v>
      </c>
      <c r="H77">
        <v>427</v>
      </c>
      <c r="I77">
        <v>145</v>
      </c>
      <c r="J77">
        <v>22113</v>
      </c>
      <c r="K77">
        <v>4.3</v>
      </c>
      <c r="L77">
        <v>68.8</v>
      </c>
    </row>
    <row r="78" spans="1:12" x14ac:dyDescent="0.25">
      <c r="A78">
        <v>77</v>
      </c>
      <c r="B78" s="1">
        <v>45808.625625000001</v>
      </c>
      <c r="C78" t="s">
        <v>12</v>
      </c>
      <c r="D78">
        <v>51</v>
      </c>
      <c r="E78" t="s">
        <v>13</v>
      </c>
      <c r="F78" t="s">
        <v>41</v>
      </c>
      <c r="G78">
        <v>97</v>
      </c>
      <c r="H78">
        <v>169</v>
      </c>
      <c r="I78">
        <v>144</v>
      </c>
      <c r="J78">
        <v>10749</v>
      </c>
      <c r="K78">
        <v>7.2</v>
      </c>
      <c r="L78">
        <v>67.3</v>
      </c>
    </row>
    <row r="79" spans="1:12" x14ac:dyDescent="0.25">
      <c r="A79">
        <v>78</v>
      </c>
      <c r="B79" s="1">
        <v>45852.150625000002</v>
      </c>
      <c r="C79" t="s">
        <v>45</v>
      </c>
      <c r="D79">
        <v>31</v>
      </c>
      <c r="E79" t="s">
        <v>16</v>
      </c>
      <c r="F79" t="s">
        <v>41</v>
      </c>
      <c r="G79">
        <v>70</v>
      </c>
      <c r="H79">
        <v>390</v>
      </c>
      <c r="I79">
        <v>78</v>
      </c>
      <c r="J79">
        <v>17861</v>
      </c>
      <c r="K79">
        <v>3.9</v>
      </c>
      <c r="L79">
        <v>78.599999999999994</v>
      </c>
    </row>
    <row r="80" spans="1:12" x14ac:dyDescent="0.25">
      <c r="A80">
        <v>79</v>
      </c>
      <c r="B80" s="1">
        <v>45775.934652777774</v>
      </c>
      <c r="C80" t="s">
        <v>34</v>
      </c>
      <c r="D80">
        <v>47</v>
      </c>
      <c r="E80" t="s">
        <v>13</v>
      </c>
      <c r="F80" t="s">
        <v>25</v>
      </c>
      <c r="G80">
        <v>23</v>
      </c>
      <c r="H80">
        <v>443</v>
      </c>
      <c r="I80">
        <v>108</v>
      </c>
      <c r="J80">
        <v>11255</v>
      </c>
      <c r="K80">
        <v>9.4</v>
      </c>
      <c r="L80">
        <v>74.8</v>
      </c>
    </row>
    <row r="81" spans="1:12" x14ac:dyDescent="0.25">
      <c r="A81">
        <v>80</v>
      </c>
      <c r="B81" s="1">
        <v>45906.92701388889</v>
      </c>
      <c r="C81" t="s">
        <v>57</v>
      </c>
      <c r="D81">
        <v>58</v>
      </c>
      <c r="E81" t="s">
        <v>22</v>
      </c>
      <c r="F81" t="s">
        <v>41</v>
      </c>
      <c r="G81">
        <v>99</v>
      </c>
      <c r="H81">
        <v>167</v>
      </c>
      <c r="I81">
        <v>178</v>
      </c>
      <c r="J81">
        <v>20214</v>
      </c>
      <c r="K81">
        <v>8.8000000000000007</v>
      </c>
      <c r="L81">
        <v>66.5</v>
      </c>
    </row>
    <row r="82" spans="1:12" x14ac:dyDescent="0.25">
      <c r="A82">
        <v>81</v>
      </c>
      <c r="B82" s="1">
        <v>45892.195763888885</v>
      </c>
      <c r="C82" t="s">
        <v>57</v>
      </c>
      <c r="D82">
        <v>68</v>
      </c>
      <c r="E82" t="s">
        <v>13</v>
      </c>
      <c r="F82" t="s">
        <v>14</v>
      </c>
      <c r="G82">
        <v>91</v>
      </c>
      <c r="H82">
        <v>370</v>
      </c>
      <c r="I82">
        <v>121</v>
      </c>
      <c r="J82">
        <v>16206</v>
      </c>
      <c r="K82">
        <v>9.1999999999999993</v>
      </c>
      <c r="L82">
        <v>84.2</v>
      </c>
    </row>
    <row r="83" spans="1:12" x14ac:dyDescent="0.25">
      <c r="A83">
        <v>82</v>
      </c>
      <c r="B83" s="1">
        <v>45939.084652777776</v>
      </c>
      <c r="C83" t="s">
        <v>26</v>
      </c>
      <c r="D83">
        <v>55</v>
      </c>
      <c r="E83" t="s">
        <v>22</v>
      </c>
      <c r="F83" t="s">
        <v>27</v>
      </c>
      <c r="G83">
        <v>68</v>
      </c>
      <c r="H83">
        <v>431</v>
      </c>
      <c r="I83">
        <v>137</v>
      </c>
      <c r="J83">
        <v>16443</v>
      </c>
      <c r="K83">
        <v>3</v>
      </c>
      <c r="L83">
        <v>76.3</v>
      </c>
    </row>
    <row r="84" spans="1:12" x14ac:dyDescent="0.25">
      <c r="A84">
        <v>83</v>
      </c>
      <c r="B84" s="1">
        <v>45921.748541666668</v>
      </c>
      <c r="C84" t="s">
        <v>31</v>
      </c>
      <c r="D84">
        <v>38</v>
      </c>
      <c r="E84" t="s">
        <v>13</v>
      </c>
      <c r="F84" t="s">
        <v>25</v>
      </c>
      <c r="G84">
        <v>95</v>
      </c>
      <c r="H84">
        <v>124</v>
      </c>
      <c r="I84">
        <v>105</v>
      </c>
      <c r="J84">
        <v>18334</v>
      </c>
      <c r="K84">
        <v>4.3</v>
      </c>
      <c r="L84">
        <v>51.3</v>
      </c>
    </row>
    <row r="85" spans="1:12" x14ac:dyDescent="0.25">
      <c r="A85">
        <v>84</v>
      </c>
      <c r="B85" s="1">
        <v>45899.715208333335</v>
      </c>
      <c r="C85" t="s">
        <v>59</v>
      </c>
      <c r="D85">
        <v>48</v>
      </c>
      <c r="E85" t="s">
        <v>16</v>
      </c>
      <c r="F85" t="s">
        <v>27</v>
      </c>
      <c r="G85">
        <v>25</v>
      </c>
      <c r="H85">
        <v>341</v>
      </c>
      <c r="I85">
        <v>88</v>
      </c>
      <c r="J85">
        <v>16892</v>
      </c>
      <c r="K85">
        <v>8.6999999999999993</v>
      </c>
      <c r="L85">
        <v>61.8</v>
      </c>
    </row>
    <row r="86" spans="1:12" x14ac:dyDescent="0.25">
      <c r="A86">
        <v>85</v>
      </c>
      <c r="B86" s="1">
        <v>45922.001319444447</v>
      </c>
      <c r="C86" t="s">
        <v>61</v>
      </c>
      <c r="D86">
        <v>34</v>
      </c>
      <c r="E86" t="s">
        <v>16</v>
      </c>
      <c r="F86" t="s">
        <v>25</v>
      </c>
      <c r="G86">
        <v>16</v>
      </c>
      <c r="H86">
        <v>317</v>
      </c>
      <c r="I86">
        <v>167</v>
      </c>
      <c r="J86">
        <v>21514</v>
      </c>
      <c r="K86">
        <v>8.1999999999999993</v>
      </c>
      <c r="L86">
        <v>82.2</v>
      </c>
    </row>
    <row r="87" spans="1:12" x14ac:dyDescent="0.25">
      <c r="A87">
        <v>86</v>
      </c>
      <c r="B87" s="1">
        <v>45910.043680555558</v>
      </c>
      <c r="C87" t="s">
        <v>46</v>
      </c>
      <c r="D87">
        <v>19</v>
      </c>
      <c r="E87" t="s">
        <v>22</v>
      </c>
      <c r="F87" t="s">
        <v>27</v>
      </c>
      <c r="G87">
        <v>33</v>
      </c>
      <c r="H87">
        <v>125</v>
      </c>
      <c r="I87">
        <v>143</v>
      </c>
      <c r="J87">
        <v>21400</v>
      </c>
      <c r="K87">
        <v>5.7</v>
      </c>
      <c r="L87">
        <v>61</v>
      </c>
    </row>
    <row r="88" spans="1:12" x14ac:dyDescent="0.25">
      <c r="A88">
        <v>87</v>
      </c>
      <c r="B88" s="1">
        <v>45908.060347222221</v>
      </c>
      <c r="C88" t="s">
        <v>33</v>
      </c>
      <c r="D88">
        <v>58</v>
      </c>
      <c r="E88" t="s">
        <v>13</v>
      </c>
      <c r="F88" t="s">
        <v>23</v>
      </c>
      <c r="G88">
        <v>20</v>
      </c>
      <c r="H88">
        <v>292</v>
      </c>
      <c r="I88">
        <v>136</v>
      </c>
      <c r="J88">
        <v>23482</v>
      </c>
      <c r="K88">
        <v>4.2</v>
      </c>
      <c r="L88">
        <v>70.3</v>
      </c>
    </row>
    <row r="89" spans="1:12" x14ac:dyDescent="0.25">
      <c r="A89">
        <v>88</v>
      </c>
      <c r="B89" s="1">
        <v>45911.582569444443</v>
      </c>
      <c r="C89" t="s">
        <v>18</v>
      </c>
      <c r="D89">
        <v>22</v>
      </c>
      <c r="E89" t="s">
        <v>22</v>
      </c>
      <c r="F89" t="s">
        <v>27</v>
      </c>
      <c r="G89">
        <v>42</v>
      </c>
      <c r="H89">
        <v>351</v>
      </c>
      <c r="I89">
        <v>66</v>
      </c>
      <c r="J89">
        <v>10128</v>
      </c>
      <c r="K89">
        <v>7.9</v>
      </c>
      <c r="L89">
        <v>80</v>
      </c>
    </row>
    <row r="90" spans="1:12" x14ac:dyDescent="0.25">
      <c r="A90">
        <v>89</v>
      </c>
      <c r="B90" s="1">
        <v>45892.125625000001</v>
      </c>
      <c r="C90" t="s">
        <v>54</v>
      </c>
      <c r="D90">
        <v>62</v>
      </c>
      <c r="E90" t="s">
        <v>22</v>
      </c>
      <c r="F90" t="s">
        <v>14</v>
      </c>
      <c r="G90">
        <v>21</v>
      </c>
      <c r="H90">
        <v>345</v>
      </c>
      <c r="I90">
        <v>62</v>
      </c>
      <c r="J90">
        <v>15211</v>
      </c>
      <c r="K90">
        <v>4.3</v>
      </c>
      <c r="L90">
        <v>51.9</v>
      </c>
    </row>
    <row r="91" spans="1:12" x14ac:dyDescent="0.25">
      <c r="A91">
        <v>90</v>
      </c>
      <c r="B91" s="1">
        <v>45807.819374999999</v>
      </c>
      <c r="C91" t="s">
        <v>21</v>
      </c>
      <c r="D91">
        <v>47</v>
      </c>
      <c r="E91" t="s">
        <v>16</v>
      </c>
      <c r="F91" t="s">
        <v>27</v>
      </c>
      <c r="G91">
        <v>46</v>
      </c>
      <c r="H91">
        <v>427</v>
      </c>
      <c r="I91">
        <v>80</v>
      </c>
      <c r="J91">
        <v>18973</v>
      </c>
      <c r="K91">
        <v>7.7</v>
      </c>
      <c r="L91">
        <v>49</v>
      </c>
    </row>
    <row r="92" spans="1:12" x14ac:dyDescent="0.25">
      <c r="A92">
        <v>91</v>
      </c>
      <c r="B92" s="1">
        <v>45927.399930555555</v>
      </c>
      <c r="C92" t="s">
        <v>54</v>
      </c>
      <c r="D92">
        <v>49</v>
      </c>
      <c r="E92" t="s">
        <v>16</v>
      </c>
      <c r="F92" t="s">
        <v>20</v>
      </c>
      <c r="G92">
        <v>104</v>
      </c>
      <c r="H92">
        <v>313</v>
      </c>
      <c r="I92">
        <v>100</v>
      </c>
      <c r="J92">
        <v>15990</v>
      </c>
      <c r="K92">
        <v>6.5</v>
      </c>
      <c r="L92">
        <v>73.3</v>
      </c>
    </row>
    <row r="93" spans="1:12" x14ac:dyDescent="0.25">
      <c r="A93">
        <v>92</v>
      </c>
      <c r="B93" s="1">
        <v>45833.817986111113</v>
      </c>
      <c r="C93" t="s">
        <v>62</v>
      </c>
      <c r="D93">
        <v>31</v>
      </c>
      <c r="E93" t="s">
        <v>13</v>
      </c>
      <c r="F93" t="s">
        <v>23</v>
      </c>
      <c r="G93">
        <v>11</v>
      </c>
      <c r="H93">
        <v>272</v>
      </c>
      <c r="I93">
        <v>119</v>
      </c>
      <c r="J93">
        <v>18301</v>
      </c>
      <c r="K93">
        <v>3.7</v>
      </c>
      <c r="L93">
        <v>67.400000000000006</v>
      </c>
    </row>
    <row r="94" spans="1:12" x14ac:dyDescent="0.25">
      <c r="A94">
        <v>93</v>
      </c>
      <c r="B94" s="1">
        <v>45792.671458333331</v>
      </c>
      <c r="C94" t="s">
        <v>63</v>
      </c>
      <c r="D94">
        <v>63</v>
      </c>
      <c r="E94" t="s">
        <v>16</v>
      </c>
      <c r="F94" t="s">
        <v>23</v>
      </c>
      <c r="G94">
        <v>108</v>
      </c>
      <c r="H94">
        <v>369</v>
      </c>
      <c r="I94">
        <v>165</v>
      </c>
      <c r="J94">
        <v>24789</v>
      </c>
      <c r="K94">
        <v>5.4</v>
      </c>
      <c r="L94">
        <v>73.400000000000006</v>
      </c>
    </row>
    <row r="95" spans="1:12" x14ac:dyDescent="0.25">
      <c r="A95">
        <v>94</v>
      </c>
      <c r="B95" s="1">
        <v>45876.944374999999</v>
      </c>
      <c r="C95" t="s">
        <v>39</v>
      </c>
      <c r="D95">
        <v>23</v>
      </c>
      <c r="E95" t="s">
        <v>22</v>
      </c>
      <c r="F95" t="s">
        <v>20</v>
      </c>
      <c r="G95">
        <v>5</v>
      </c>
      <c r="H95">
        <v>376</v>
      </c>
      <c r="I95">
        <v>89</v>
      </c>
      <c r="J95">
        <v>13162</v>
      </c>
      <c r="K95">
        <v>8.4</v>
      </c>
      <c r="L95">
        <v>88.1</v>
      </c>
    </row>
    <row r="96" spans="1:12" x14ac:dyDescent="0.25">
      <c r="A96">
        <v>95</v>
      </c>
      <c r="B96" s="1">
        <v>45867.888819444444</v>
      </c>
      <c r="C96" t="s">
        <v>47</v>
      </c>
      <c r="D96">
        <v>66</v>
      </c>
      <c r="E96" t="s">
        <v>16</v>
      </c>
      <c r="F96" t="s">
        <v>23</v>
      </c>
      <c r="G96">
        <v>108</v>
      </c>
      <c r="H96">
        <v>206</v>
      </c>
      <c r="I96">
        <v>63</v>
      </c>
      <c r="J96">
        <v>20934</v>
      </c>
      <c r="K96">
        <v>6.6</v>
      </c>
      <c r="L96">
        <v>74.2</v>
      </c>
    </row>
    <row r="97" spans="1:12" x14ac:dyDescent="0.25">
      <c r="A97">
        <v>96</v>
      </c>
      <c r="B97" s="1">
        <v>45868.831180555557</v>
      </c>
      <c r="C97" t="s">
        <v>42</v>
      </c>
      <c r="D97">
        <v>59</v>
      </c>
      <c r="E97" t="s">
        <v>16</v>
      </c>
      <c r="F97" t="s">
        <v>17</v>
      </c>
      <c r="G97">
        <v>79</v>
      </c>
      <c r="H97">
        <v>344</v>
      </c>
      <c r="I97">
        <v>118</v>
      </c>
      <c r="J97">
        <v>5935</v>
      </c>
      <c r="K97">
        <v>8.9</v>
      </c>
      <c r="L97">
        <v>69.599999999999994</v>
      </c>
    </row>
    <row r="98" spans="1:12" x14ac:dyDescent="0.25">
      <c r="A98">
        <v>97</v>
      </c>
      <c r="B98" s="1">
        <v>45798.961736111109</v>
      </c>
      <c r="C98" t="s">
        <v>62</v>
      </c>
      <c r="D98">
        <v>27</v>
      </c>
      <c r="E98" t="s">
        <v>16</v>
      </c>
      <c r="F98" t="s">
        <v>20</v>
      </c>
      <c r="G98">
        <v>42</v>
      </c>
      <c r="H98">
        <v>50</v>
      </c>
      <c r="I98">
        <v>177</v>
      </c>
      <c r="J98">
        <v>9637</v>
      </c>
      <c r="K98">
        <v>7.7</v>
      </c>
      <c r="L98">
        <v>56.4</v>
      </c>
    </row>
    <row r="99" spans="1:12" x14ac:dyDescent="0.25">
      <c r="A99">
        <v>98</v>
      </c>
      <c r="B99" s="1">
        <v>45892.229097222225</v>
      </c>
      <c r="C99" t="s">
        <v>15</v>
      </c>
      <c r="D99">
        <v>25</v>
      </c>
      <c r="E99" t="s">
        <v>13</v>
      </c>
      <c r="F99" t="s">
        <v>14</v>
      </c>
      <c r="G99">
        <v>70</v>
      </c>
      <c r="H99">
        <v>50</v>
      </c>
      <c r="I99">
        <v>62</v>
      </c>
      <c r="J99">
        <v>21683</v>
      </c>
      <c r="K99">
        <v>3.3</v>
      </c>
      <c r="L99">
        <v>58.2</v>
      </c>
    </row>
    <row r="100" spans="1:12" x14ac:dyDescent="0.25">
      <c r="A100">
        <v>99</v>
      </c>
      <c r="B100" s="1">
        <v>45811.408263888887</v>
      </c>
      <c r="C100" t="s">
        <v>19</v>
      </c>
      <c r="D100">
        <v>61</v>
      </c>
      <c r="E100" t="s">
        <v>16</v>
      </c>
      <c r="F100" t="s">
        <v>25</v>
      </c>
      <c r="G100">
        <v>112</v>
      </c>
      <c r="H100">
        <v>369</v>
      </c>
      <c r="I100">
        <v>99</v>
      </c>
      <c r="J100">
        <v>5892</v>
      </c>
      <c r="K100">
        <v>8.6999999999999993</v>
      </c>
      <c r="L100">
        <v>53.1</v>
      </c>
    </row>
    <row r="101" spans="1:12" x14ac:dyDescent="0.25">
      <c r="A101">
        <v>100</v>
      </c>
      <c r="B101" s="1">
        <v>45927.421458333331</v>
      </c>
      <c r="C101" t="s">
        <v>62</v>
      </c>
      <c r="D101">
        <v>35</v>
      </c>
      <c r="E101" t="s">
        <v>22</v>
      </c>
      <c r="F101" t="s">
        <v>17</v>
      </c>
      <c r="G101">
        <v>51</v>
      </c>
      <c r="H101">
        <v>74</v>
      </c>
      <c r="I101">
        <v>152</v>
      </c>
      <c r="J101">
        <v>18995</v>
      </c>
      <c r="K101">
        <v>5.0999999999999996</v>
      </c>
      <c r="L101">
        <v>35.299999999999997</v>
      </c>
    </row>
    <row r="102" spans="1:12" x14ac:dyDescent="0.25">
      <c r="A102">
        <v>101</v>
      </c>
      <c r="B102" s="1">
        <v>45813.075624999998</v>
      </c>
      <c r="C102" t="s">
        <v>51</v>
      </c>
      <c r="D102">
        <v>17</v>
      </c>
      <c r="E102" t="s">
        <v>22</v>
      </c>
      <c r="F102" t="s">
        <v>23</v>
      </c>
      <c r="G102">
        <v>45</v>
      </c>
      <c r="H102">
        <v>330</v>
      </c>
      <c r="I102">
        <v>157</v>
      </c>
      <c r="J102">
        <v>21286</v>
      </c>
      <c r="K102">
        <v>6.8</v>
      </c>
      <c r="L102">
        <v>63.2</v>
      </c>
    </row>
    <row r="103" spans="1:12" x14ac:dyDescent="0.25">
      <c r="A103">
        <v>102</v>
      </c>
      <c r="B103" s="1">
        <v>45798.181180555555</v>
      </c>
      <c r="C103" t="s">
        <v>26</v>
      </c>
      <c r="D103">
        <v>34</v>
      </c>
      <c r="E103" t="s">
        <v>16</v>
      </c>
      <c r="F103" t="s">
        <v>25</v>
      </c>
      <c r="G103">
        <v>87</v>
      </c>
      <c r="H103">
        <v>362</v>
      </c>
      <c r="I103">
        <v>93</v>
      </c>
      <c r="J103">
        <v>10166</v>
      </c>
      <c r="K103">
        <v>5.6</v>
      </c>
      <c r="L103">
        <v>59</v>
      </c>
    </row>
    <row r="104" spans="1:12" x14ac:dyDescent="0.25">
      <c r="A104">
        <v>103</v>
      </c>
      <c r="B104" s="1">
        <v>45888.752708333333</v>
      </c>
      <c r="C104" t="s">
        <v>33</v>
      </c>
      <c r="D104">
        <v>56</v>
      </c>
      <c r="E104" t="s">
        <v>16</v>
      </c>
      <c r="F104" t="s">
        <v>23</v>
      </c>
      <c r="G104">
        <v>64</v>
      </c>
      <c r="H104">
        <v>318</v>
      </c>
      <c r="I104">
        <v>107</v>
      </c>
      <c r="J104">
        <v>19054</v>
      </c>
      <c r="K104">
        <v>8.6</v>
      </c>
      <c r="L104">
        <v>77.099999999999994</v>
      </c>
    </row>
    <row r="105" spans="1:12" x14ac:dyDescent="0.25">
      <c r="A105">
        <v>104</v>
      </c>
      <c r="B105" s="1">
        <v>45821.606180555558</v>
      </c>
      <c r="C105" t="s">
        <v>43</v>
      </c>
      <c r="D105">
        <v>67</v>
      </c>
      <c r="E105" t="s">
        <v>13</v>
      </c>
      <c r="F105" t="s">
        <v>17</v>
      </c>
      <c r="G105">
        <v>14</v>
      </c>
      <c r="H105">
        <v>402</v>
      </c>
      <c r="I105">
        <v>104</v>
      </c>
      <c r="J105">
        <v>4148</v>
      </c>
      <c r="K105">
        <v>8.6</v>
      </c>
      <c r="L105">
        <v>55</v>
      </c>
    </row>
    <row r="106" spans="1:12" x14ac:dyDescent="0.25">
      <c r="A106">
        <v>105</v>
      </c>
      <c r="B106" s="1">
        <v>45842.967986111114</v>
      </c>
      <c r="C106" t="s">
        <v>48</v>
      </c>
      <c r="D106">
        <v>34</v>
      </c>
      <c r="E106" t="s">
        <v>13</v>
      </c>
      <c r="F106" t="s">
        <v>23</v>
      </c>
      <c r="G106">
        <v>76</v>
      </c>
      <c r="H106">
        <v>319</v>
      </c>
      <c r="I106">
        <v>106</v>
      </c>
      <c r="J106">
        <v>5375</v>
      </c>
      <c r="K106">
        <v>7.4</v>
      </c>
      <c r="L106">
        <v>71.900000000000006</v>
      </c>
    </row>
    <row r="107" spans="1:12" x14ac:dyDescent="0.25">
      <c r="A107">
        <v>106</v>
      </c>
      <c r="B107" s="1">
        <v>45895.335347222222</v>
      </c>
      <c r="C107" t="s">
        <v>64</v>
      </c>
      <c r="D107">
        <v>41</v>
      </c>
      <c r="E107" t="s">
        <v>22</v>
      </c>
      <c r="F107" t="s">
        <v>41</v>
      </c>
      <c r="G107">
        <v>65</v>
      </c>
      <c r="H107">
        <v>422</v>
      </c>
      <c r="I107">
        <v>121</v>
      </c>
      <c r="J107">
        <v>19134</v>
      </c>
      <c r="K107">
        <v>7.5</v>
      </c>
      <c r="L107">
        <v>43.2</v>
      </c>
    </row>
    <row r="108" spans="1:12" x14ac:dyDescent="0.25">
      <c r="A108">
        <v>107</v>
      </c>
      <c r="B108" s="1">
        <v>45843.131180555552</v>
      </c>
      <c r="C108" t="s">
        <v>65</v>
      </c>
      <c r="D108">
        <v>20</v>
      </c>
      <c r="E108" t="s">
        <v>13</v>
      </c>
      <c r="F108" t="s">
        <v>23</v>
      </c>
      <c r="G108">
        <v>22</v>
      </c>
      <c r="H108">
        <v>313</v>
      </c>
      <c r="I108">
        <v>139</v>
      </c>
      <c r="J108">
        <v>7286</v>
      </c>
      <c r="K108">
        <v>6.1</v>
      </c>
      <c r="L108">
        <v>76</v>
      </c>
    </row>
    <row r="109" spans="1:12" x14ac:dyDescent="0.25">
      <c r="A109">
        <v>108</v>
      </c>
      <c r="B109" s="1">
        <v>45861.942986111113</v>
      </c>
      <c r="C109" t="s">
        <v>58</v>
      </c>
      <c r="D109">
        <v>19</v>
      </c>
      <c r="E109" t="s">
        <v>22</v>
      </c>
      <c r="F109" t="s">
        <v>25</v>
      </c>
      <c r="G109">
        <v>79</v>
      </c>
      <c r="H109">
        <v>567</v>
      </c>
      <c r="I109">
        <v>148</v>
      </c>
      <c r="J109">
        <v>7565</v>
      </c>
      <c r="K109">
        <v>6.4</v>
      </c>
      <c r="L109">
        <v>64.3</v>
      </c>
    </row>
    <row r="110" spans="1:12" x14ac:dyDescent="0.25">
      <c r="A110">
        <v>109</v>
      </c>
      <c r="B110" s="1">
        <v>45932.546458333331</v>
      </c>
      <c r="C110" t="s">
        <v>64</v>
      </c>
      <c r="D110">
        <v>28</v>
      </c>
      <c r="E110" t="s">
        <v>22</v>
      </c>
      <c r="F110" t="s">
        <v>27</v>
      </c>
      <c r="G110">
        <v>40</v>
      </c>
      <c r="H110">
        <v>477</v>
      </c>
      <c r="I110">
        <v>98</v>
      </c>
      <c r="J110">
        <v>633</v>
      </c>
      <c r="K110">
        <v>4.9000000000000004</v>
      </c>
      <c r="L110">
        <v>62.9</v>
      </c>
    </row>
    <row r="111" spans="1:12" x14ac:dyDescent="0.25">
      <c r="A111">
        <v>110</v>
      </c>
      <c r="B111" s="1">
        <v>45801.945069444446</v>
      </c>
      <c r="C111" t="s">
        <v>47</v>
      </c>
      <c r="D111">
        <v>67</v>
      </c>
      <c r="E111" t="s">
        <v>22</v>
      </c>
      <c r="F111" t="s">
        <v>17</v>
      </c>
      <c r="G111">
        <v>109</v>
      </c>
      <c r="H111">
        <v>50</v>
      </c>
      <c r="I111">
        <v>97</v>
      </c>
      <c r="J111">
        <v>15952</v>
      </c>
      <c r="K111">
        <v>5.2</v>
      </c>
      <c r="L111">
        <v>73.3</v>
      </c>
    </row>
    <row r="112" spans="1:12" x14ac:dyDescent="0.25">
      <c r="A112">
        <v>111</v>
      </c>
      <c r="B112" s="1">
        <v>45936.617986111109</v>
      </c>
      <c r="C112" t="s">
        <v>40</v>
      </c>
      <c r="D112">
        <v>51</v>
      </c>
      <c r="E112" t="s">
        <v>13</v>
      </c>
      <c r="F112" t="s">
        <v>41</v>
      </c>
      <c r="G112">
        <v>47</v>
      </c>
      <c r="H112">
        <v>436</v>
      </c>
      <c r="I112">
        <v>128</v>
      </c>
      <c r="J112">
        <v>14000</v>
      </c>
      <c r="K112">
        <v>4.3</v>
      </c>
      <c r="L112">
        <v>73.900000000000006</v>
      </c>
    </row>
    <row r="113" spans="1:12" x14ac:dyDescent="0.25">
      <c r="A113">
        <v>112</v>
      </c>
      <c r="B113" s="1">
        <v>45771.59784722222</v>
      </c>
      <c r="C113" t="s">
        <v>48</v>
      </c>
      <c r="D113">
        <v>42</v>
      </c>
      <c r="E113" t="s">
        <v>16</v>
      </c>
      <c r="F113" t="s">
        <v>23</v>
      </c>
      <c r="G113">
        <v>117</v>
      </c>
      <c r="H113">
        <v>313</v>
      </c>
      <c r="I113">
        <v>147</v>
      </c>
      <c r="J113">
        <v>9764</v>
      </c>
      <c r="K113">
        <v>5.5</v>
      </c>
      <c r="L113">
        <v>62</v>
      </c>
    </row>
    <row r="114" spans="1:12" x14ac:dyDescent="0.25">
      <c r="A114">
        <v>113</v>
      </c>
      <c r="B114" s="1">
        <v>45903.320763888885</v>
      </c>
      <c r="C114" t="s">
        <v>38</v>
      </c>
      <c r="D114">
        <v>31</v>
      </c>
      <c r="E114" t="s">
        <v>13</v>
      </c>
      <c r="F114" t="s">
        <v>27</v>
      </c>
      <c r="G114">
        <v>19</v>
      </c>
      <c r="H114">
        <v>417</v>
      </c>
      <c r="I114">
        <v>113</v>
      </c>
      <c r="J114">
        <v>15511</v>
      </c>
      <c r="K114">
        <v>5.9</v>
      </c>
      <c r="L114">
        <v>63.2</v>
      </c>
    </row>
    <row r="115" spans="1:12" x14ac:dyDescent="0.25">
      <c r="A115">
        <v>114</v>
      </c>
      <c r="B115" s="1">
        <v>45937.279791666668</v>
      </c>
      <c r="C115" t="s">
        <v>55</v>
      </c>
      <c r="D115">
        <v>32</v>
      </c>
      <c r="E115" t="s">
        <v>22</v>
      </c>
      <c r="F115" t="s">
        <v>14</v>
      </c>
      <c r="G115">
        <v>21</v>
      </c>
      <c r="H115">
        <v>99</v>
      </c>
      <c r="I115">
        <v>84</v>
      </c>
      <c r="J115">
        <v>13967</v>
      </c>
      <c r="K115">
        <v>7.9</v>
      </c>
      <c r="L115">
        <v>72.2</v>
      </c>
    </row>
    <row r="116" spans="1:12" x14ac:dyDescent="0.25">
      <c r="A116">
        <v>115</v>
      </c>
      <c r="B116" s="1">
        <v>45809.366597222222</v>
      </c>
      <c r="C116" t="s">
        <v>66</v>
      </c>
      <c r="D116">
        <v>55</v>
      </c>
      <c r="E116" t="s">
        <v>22</v>
      </c>
      <c r="F116" t="s">
        <v>27</v>
      </c>
      <c r="G116">
        <v>27</v>
      </c>
      <c r="H116">
        <v>226</v>
      </c>
      <c r="I116">
        <v>153</v>
      </c>
      <c r="J116">
        <v>16860</v>
      </c>
      <c r="K116">
        <v>6.8</v>
      </c>
      <c r="L116">
        <v>61.7</v>
      </c>
    </row>
    <row r="117" spans="1:12" x14ac:dyDescent="0.25">
      <c r="A117">
        <v>116</v>
      </c>
      <c r="B117" s="1">
        <v>45817.269375000003</v>
      </c>
      <c r="C117" t="s">
        <v>28</v>
      </c>
      <c r="D117">
        <v>50</v>
      </c>
      <c r="E117" t="s">
        <v>22</v>
      </c>
      <c r="F117" t="s">
        <v>27</v>
      </c>
      <c r="G117">
        <v>118</v>
      </c>
      <c r="H117">
        <v>271</v>
      </c>
      <c r="I117">
        <v>155</v>
      </c>
      <c r="J117">
        <v>24984</v>
      </c>
      <c r="K117">
        <v>4.9000000000000004</v>
      </c>
      <c r="L117">
        <v>87.5</v>
      </c>
    </row>
    <row r="118" spans="1:12" x14ac:dyDescent="0.25">
      <c r="A118">
        <v>117</v>
      </c>
      <c r="B118" s="1">
        <v>45782.226319444446</v>
      </c>
      <c r="C118" t="s">
        <v>50</v>
      </c>
      <c r="D118">
        <v>65</v>
      </c>
      <c r="E118" t="s">
        <v>22</v>
      </c>
      <c r="F118" t="s">
        <v>17</v>
      </c>
      <c r="G118">
        <v>78</v>
      </c>
      <c r="H118">
        <v>315</v>
      </c>
      <c r="I118">
        <v>61</v>
      </c>
      <c r="J118">
        <v>4079</v>
      </c>
      <c r="K118">
        <v>5</v>
      </c>
      <c r="L118">
        <v>69</v>
      </c>
    </row>
    <row r="119" spans="1:12" x14ac:dyDescent="0.25">
      <c r="A119">
        <v>118</v>
      </c>
      <c r="B119" s="1">
        <v>45877.283958333333</v>
      </c>
      <c r="C119" t="s">
        <v>26</v>
      </c>
      <c r="D119">
        <v>48</v>
      </c>
      <c r="E119" t="s">
        <v>22</v>
      </c>
      <c r="F119" t="s">
        <v>25</v>
      </c>
      <c r="G119">
        <v>13</v>
      </c>
      <c r="H119">
        <v>502</v>
      </c>
      <c r="I119">
        <v>138</v>
      </c>
      <c r="J119">
        <v>16181</v>
      </c>
      <c r="K119">
        <v>7.1</v>
      </c>
      <c r="L119">
        <v>67.099999999999994</v>
      </c>
    </row>
    <row r="120" spans="1:12" x14ac:dyDescent="0.25">
      <c r="A120">
        <v>119</v>
      </c>
      <c r="B120" s="1">
        <v>45885.899236111109</v>
      </c>
      <c r="C120" t="s">
        <v>38</v>
      </c>
      <c r="D120">
        <v>33</v>
      </c>
      <c r="E120" t="s">
        <v>16</v>
      </c>
      <c r="F120" t="s">
        <v>27</v>
      </c>
      <c r="G120">
        <v>113</v>
      </c>
      <c r="H120">
        <v>230</v>
      </c>
      <c r="I120">
        <v>139</v>
      </c>
      <c r="J120">
        <v>11995</v>
      </c>
      <c r="K120">
        <v>7.7</v>
      </c>
      <c r="L120">
        <v>79.7</v>
      </c>
    </row>
    <row r="121" spans="1:12" x14ac:dyDescent="0.25">
      <c r="A121">
        <v>120</v>
      </c>
      <c r="B121" s="1">
        <v>45913.650625000002</v>
      </c>
      <c r="C121" t="s">
        <v>63</v>
      </c>
      <c r="D121">
        <v>23</v>
      </c>
      <c r="E121" t="s">
        <v>22</v>
      </c>
      <c r="F121" t="s">
        <v>23</v>
      </c>
      <c r="G121">
        <v>107</v>
      </c>
      <c r="H121">
        <v>397</v>
      </c>
      <c r="I121">
        <v>104</v>
      </c>
      <c r="J121">
        <v>9017</v>
      </c>
      <c r="K121">
        <v>6.5</v>
      </c>
      <c r="L121">
        <v>71.7</v>
      </c>
    </row>
    <row r="122" spans="1:12" x14ac:dyDescent="0.25">
      <c r="A122">
        <v>121</v>
      </c>
      <c r="B122" s="1">
        <v>45813.695763888885</v>
      </c>
      <c r="C122" t="s">
        <v>67</v>
      </c>
      <c r="D122">
        <v>25</v>
      </c>
      <c r="E122" t="s">
        <v>22</v>
      </c>
      <c r="F122" t="s">
        <v>23</v>
      </c>
      <c r="G122">
        <v>79</v>
      </c>
      <c r="H122">
        <v>223</v>
      </c>
      <c r="I122">
        <v>158</v>
      </c>
      <c r="J122">
        <v>5213</v>
      </c>
      <c r="K122">
        <v>8.6</v>
      </c>
      <c r="L122">
        <v>70.8</v>
      </c>
    </row>
    <row r="123" spans="1:12" x14ac:dyDescent="0.25">
      <c r="A123">
        <v>122</v>
      </c>
      <c r="B123" s="1">
        <v>45790.949930555558</v>
      </c>
      <c r="C123" t="s">
        <v>61</v>
      </c>
      <c r="D123">
        <v>66</v>
      </c>
      <c r="E123" t="s">
        <v>22</v>
      </c>
      <c r="F123" t="s">
        <v>14</v>
      </c>
      <c r="G123">
        <v>70</v>
      </c>
      <c r="H123">
        <v>416</v>
      </c>
      <c r="I123">
        <v>157</v>
      </c>
      <c r="J123">
        <v>17951</v>
      </c>
      <c r="K123">
        <v>8.1999999999999993</v>
      </c>
      <c r="L123">
        <v>63.5</v>
      </c>
    </row>
    <row r="124" spans="1:12" x14ac:dyDescent="0.25">
      <c r="A124">
        <v>123</v>
      </c>
      <c r="B124" s="1">
        <v>45919.118680555555</v>
      </c>
      <c r="C124" t="s">
        <v>34</v>
      </c>
      <c r="D124">
        <v>49</v>
      </c>
      <c r="E124" t="s">
        <v>13</v>
      </c>
      <c r="F124" t="s">
        <v>20</v>
      </c>
      <c r="G124">
        <v>60</v>
      </c>
      <c r="H124">
        <v>301</v>
      </c>
      <c r="I124">
        <v>98</v>
      </c>
      <c r="J124">
        <v>20424</v>
      </c>
      <c r="K124">
        <v>5.2</v>
      </c>
      <c r="L124">
        <v>88.4</v>
      </c>
    </row>
    <row r="125" spans="1:12" x14ac:dyDescent="0.25">
      <c r="A125">
        <v>124</v>
      </c>
      <c r="B125" s="1">
        <v>45817.204791666663</v>
      </c>
      <c r="C125" t="s">
        <v>45</v>
      </c>
      <c r="D125">
        <v>23</v>
      </c>
      <c r="E125" t="s">
        <v>16</v>
      </c>
      <c r="F125" t="s">
        <v>17</v>
      </c>
      <c r="G125">
        <v>77</v>
      </c>
      <c r="H125">
        <v>50</v>
      </c>
      <c r="I125">
        <v>161</v>
      </c>
      <c r="J125">
        <v>19046</v>
      </c>
      <c r="K125">
        <v>4.8</v>
      </c>
      <c r="L125">
        <v>48</v>
      </c>
    </row>
    <row r="126" spans="1:12" x14ac:dyDescent="0.25">
      <c r="A126">
        <v>125</v>
      </c>
      <c r="B126" s="1">
        <v>45820.572847222225</v>
      </c>
      <c r="C126" t="s">
        <v>31</v>
      </c>
      <c r="D126">
        <v>37</v>
      </c>
      <c r="E126" t="s">
        <v>13</v>
      </c>
      <c r="F126" t="s">
        <v>14</v>
      </c>
      <c r="G126">
        <v>109</v>
      </c>
      <c r="H126">
        <v>240</v>
      </c>
      <c r="I126">
        <v>85</v>
      </c>
      <c r="J126">
        <v>13407</v>
      </c>
      <c r="K126">
        <v>4.2</v>
      </c>
      <c r="L126">
        <v>84.8</v>
      </c>
    </row>
    <row r="127" spans="1:12" x14ac:dyDescent="0.25">
      <c r="A127">
        <v>126</v>
      </c>
      <c r="B127" s="1">
        <v>45888.181180555555</v>
      </c>
      <c r="C127" t="s">
        <v>53</v>
      </c>
      <c r="D127">
        <v>61</v>
      </c>
      <c r="E127" t="s">
        <v>22</v>
      </c>
      <c r="F127" t="s">
        <v>23</v>
      </c>
      <c r="G127">
        <v>15</v>
      </c>
      <c r="H127">
        <v>552</v>
      </c>
      <c r="I127">
        <v>136</v>
      </c>
      <c r="J127">
        <v>8650</v>
      </c>
      <c r="K127">
        <v>6.1</v>
      </c>
      <c r="L127">
        <v>77.5</v>
      </c>
    </row>
    <row r="128" spans="1:12" x14ac:dyDescent="0.25">
      <c r="A128">
        <v>127</v>
      </c>
      <c r="B128" s="1">
        <v>45819.009652777779</v>
      </c>
      <c r="C128" t="s">
        <v>46</v>
      </c>
      <c r="D128">
        <v>57</v>
      </c>
      <c r="E128" t="s">
        <v>13</v>
      </c>
      <c r="F128" t="s">
        <v>27</v>
      </c>
      <c r="G128">
        <v>17</v>
      </c>
      <c r="H128">
        <v>281</v>
      </c>
      <c r="I128">
        <v>151</v>
      </c>
      <c r="J128">
        <v>19878</v>
      </c>
      <c r="K128">
        <v>9.5</v>
      </c>
      <c r="L128">
        <v>61.8</v>
      </c>
    </row>
    <row r="129" spans="1:12" x14ac:dyDescent="0.25">
      <c r="A129">
        <v>128</v>
      </c>
      <c r="B129" s="1">
        <v>45828.118680555555</v>
      </c>
      <c r="C129" t="s">
        <v>49</v>
      </c>
      <c r="D129">
        <v>38</v>
      </c>
      <c r="E129" t="s">
        <v>22</v>
      </c>
      <c r="F129" t="s">
        <v>27</v>
      </c>
      <c r="G129">
        <v>67</v>
      </c>
      <c r="H129">
        <v>315</v>
      </c>
      <c r="I129">
        <v>81</v>
      </c>
      <c r="J129">
        <v>23000</v>
      </c>
      <c r="K129">
        <v>9</v>
      </c>
      <c r="L129">
        <v>47.2</v>
      </c>
    </row>
    <row r="130" spans="1:12" x14ac:dyDescent="0.25">
      <c r="A130">
        <v>129</v>
      </c>
      <c r="B130" s="1">
        <v>45894.499236111114</v>
      </c>
      <c r="C130" t="s">
        <v>48</v>
      </c>
      <c r="D130">
        <v>47</v>
      </c>
      <c r="E130" t="s">
        <v>22</v>
      </c>
      <c r="F130" t="s">
        <v>23</v>
      </c>
      <c r="G130">
        <v>96</v>
      </c>
      <c r="H130">
        <v>332</v>
      </c>
      <c r="I130">
        <v>179</v>
      </c>
      <c r="J130">
        <v>19992</v>
      </c>
      <c r="K130">
        <v>4.2</v>
      </c>
      <c r="L130">
        <v>72.5</v>
      </c>
    </row>
    <row r="131" spans="1:12" x14ac:dyDescent="0.25">
      <c r="A131">
        <v>130</v>
      </c>
      <c r="B131" s="1">
        <v>45843.600624999999</v>
      </c>
      <c r="C131" t="s">
        <v>24</v>
      </c>
      <c r="D131">
        <v>26</v>
      </c>
      <c r="E131" t="s">
        <v>13</v>
      </c>
      <c r="F131" t="s">
        <v>25</v>
      </c>
      <c r="G131">
        <v>95</v>
      </c>
      <c r="H131">
        <v>115</v>
      </c>
      <c r="I131">
        <v>137</v>
      </c>
      <c r="J131">
        <v>18294</v>
      </c>
      <c r="K131">
        <v>8.1</v>
      </c>
      <c r="L131">
        <v>72</v>
      </c>
    </row>
    <row r="132" spans="1:12" x14ac:dyDescent="0.25">
      <c r="A132">
        <v>131</v>
      </c>
      <c r="B132" s="1">
        <v>45855.166597222225</v>
      </c>
      <c r="C132" t="s">
        <v>53</v>
      </c>
      <c r="D132">
        <v>36</v>
      </c>
      <c r="E132" t="s">
        <v>16</v>
      </c>
      <c r="F132" t="s">
        <v>14</v>
      </c>
      <c r="G132">
        <v>74</v>
      </c>
      <c r="H132">
        <v>233</v>
      </c>
      <c r="I132">
        <v>60</v>
      </c>
      <c r="J132">
        <v>11448</v>
      </c>
      <c r="K132">
        <v>6.6</v>
      </c>
      <c r="L132">
        <v>89.7</v>
      </c>
    </row>
    <row r="133" spans="1:12" x14ac:dyDescent="0.25">
      <c r="A133">
        <v>132</v>
      </c>
      <c r="B133" s="1">
        <v>45942.913819444446</v>
      </c>
      <c r="C133" t="s">
        <v>56</v>
      </c>
      <c r="D133">
        <v>22</v>
      </c>
      <c r="E133" t="s">
        <v>16</v>
      </c>
      <c r="F133" t="s">
        <v>27</v>
      </c>
      <c r="G133">
        <v>63</v>
      </c>
      <c r="H133">
        <v>223</v>
      </c>
      <c r="I133">
        <v>142</v>
      </c>
      <c r="J133">
        <v>11047</v>
      </c>
      <c r="K133">
        <v>7.4</v>
      </c>
      <c r="L133">
        <v>53.2</v>
      </c>
    </row>
    <row r="134" spans="1:12" x14ac:dyDescent="0.25">
      <c r="A134">
        <v>133</v>
      </c>
      <c r="B134" s="1">
        <v>45882.117291666669</v>
      </c>
      <c r="C134" t="s">
        <v>59</v>
      </c>
      <c r="D134">
        <v>68</v>
      </c>
      <c r="E134" t="s">
        <v>13</v>
      </c>
      <c r="F134" t="s">
        <v>20</v>
      </c>
      <c r="G134">
        <v>27</v>
      </c>
      <c r="H134">
        <v>228</v>
      </c>
      <c r="I134">
        <v>85</v>
      </c>
      <c r="J134">
        <v>16060</v>
      </c>
      <c r="K134">
        <v>4.0999999999999996</v>
      </c>
      <c r="L134">
        <v>84.9</v>
      </c>
    </row>
    <row r="135" spans="1:12" x14ac:dyDescent="0.25">
      <c r="A135">
        <v>134</v>
      </c>
      <c r="B135" s="1">
        <v>45880.48673611111</v>
      </c>
      <c r="C135" t="s">
        <v>15</v>
      </c>
      <c r="D135">
        <v>42</v>
      </c>
      <c r="E135" t="s">
        <v>16</v>
      </c>
      <c r="F135" t="s">
        <v>27</v>
      </c>
      <c r="G135">
        <v>21</v>
      </c>
      <c r="H135">
        <v>334</v>
      </c>
      <c r="I135">
        <v>130</v>
      </c>
      <c r="J135">
        <v>5912</v>
      </c>
      <c r="K135">
        <v>8.1</v>
      </c>
      <c r="L135">
        <v>69.400000000000006</v>
      </c>
    </row>
    <row r="136" spans="1:12" x14ac:dyDescent="0.25">
      <c r="A136">
        <v>135</v>
      </c>
      <c r="B136" s="1">
        <v>45910.078402777777</v>
      </c>
      <c r="C136" t="s">
        <v>30</v>
      </c>
      <c r="D136">
        <v>22</v>
      </c>
      <c r="E136" t="s">
        <v>13</v>
      </c>
      <c r="F136" t="s">
        <v>23</v>
      </c>
      <c r="G136">
        <v>98</v>
      </c>
      <c r="H136">
        <v>446</v>
      </c>
      <c r="I136">
        <v>161</v>
      </c>
      <c r="J136">
        <v>3411</v>
      </c>
      <c r="K136">
        <v>7.6</v>
      </c>
      <c r="L136">
        <v>80.099999999999994</v>
      </c>
    </row>
    <row r="137" spans="1:12" x14ac:dyDescent="0.25">
      <c r="A137">
        <v>136</v>
      </c>
      <c r="B137" s="1">
        <v>45840.763124999998</v>
      </c>
      <c r="C137" t="s">
        <v>49</v>
      </c>
      <c r="D137">
        <v>34</v>
      </c>
      <c r="E137" t="s">
        <v>16</v>
      </c>
      <c r="F137" t="s">
        <v>17</v>
      </c>
      <c r="G137">
        <v>67</v>
      </c>
      <c r="H137">
        <v>252</v>
      </c>
      <c r="I137">
        <v>87</v>
      </c>
      <c r="J137">
        <v>19470</v>
      </c>
      <c r="K137">
        <v>6.1</v>
      </c>
      <c r="L137">
        <v>89.2</v>
      </c>
    </row>
    <row r="138" spans="1:12" x14ac:dyDescent="0.25">
      <c r="A138">
        <v>137</v>
      </c>
      <c r="B138" s="1">
        <v>45895.538124999999</v>
      </c>
      <c r="C138" t="s">
        <v>56</v>
      </c>
      <c r="D138">
        <v>37</v>
      </c>
      <c r="E138" t="s">
        <v>22</v>
      </c>
      <c r="F138" t="s">
        <v>41</v>
      </c>
      <c r="G138">
        <v>53</v>
      </c>
      <c r="H138">
        <v>202</v>
      </c>
      <c r="I138">
        <v>143</v>
      </c>
      <c r="J138">
        <v>23909</v>
      </c>
      <c r="K138">
        <v>9.5</v>
      </c>
      <c r="L138">
        <v>70.099999999999994</v>
      </c>
    </row>
    <row r="139" spans="1:12" x14ac:dyDescent="0.25">
      <c r="A139">
        <v>138</v>
      </c>
      <c r="B139" s="1">
        <v>45848.551319444443</v>
      </c>
      <c r="C139" t="s">
        <v>46</v>
      </c>
      <c r="D139">
        <v>45</v>
      </c>
      <c r="E139" t="s">
        <v>22</v>
      </c>
      <c r="F139" t="s">
        <v>27</v>
      </c>
      <c r="G139">
        <v>80</v>
      </c>
      <c r="H139">
        <v>276</v>
      </c>
      <c r="I139">
        <v>63</v>
      </c>
      <c r="J139">
        <v>7633</v>
      </c>
      <c r="K139">
        <v>9</v>
      </c>
      <c r="L139">
        <v>50.9</v>
      </c>
    </row>
    <row r="140" spans="1:12" x14ac:dyDescent="0.25">
      <c r="A140">
        <v>139</v>
      </c>
      <c r="B140" s="1">
        <v>45772.133958333332</v>
      </c>
      <c r="C140" t="s">
        <v>60</v>
      </c>
      <c r="D140">
        <v>39</v>
      </c>
      <c r="E140" t="s">
        <v>13</v>
      </c>
      <c r="F140" t="s">
        <v>17</v>
      </c>
      <c r="G140">
        <v>105</v>
      </c>
      <c r="H140">
        <v>247</v>
      </c>
      <c r="I140">
        <v>82</v>
      </c>
      <c r="J140">
        <v>10733</v>
      </c>
      <c r="K140">
        <v>4</v>
      </c>
      <c r="L140">
        <v>54.4</v>
      </c>
    </row>
    <row r="141" spans="1:12" x14ac:dyDescent="0.25">
      <c r="A141">
        <v>140</v>
      </c>
      <c r="B141" s="1">
        <v>45918.849236111113</v>
      </c>
      <c r="C141" t="s">
        <v>45</v>
      </c>
      <c r="D141">
        <v>37</v>
      </c>
      <c r="E141" t="s">
        <v>22</v>
      </c>
      <c r="F141" t="s">
        <v>23</v>
      </c>
      <c r="G141">
        <v>81</v>
      </c>
      <c r="H141">
        <v>312</v>
      </c>
      <c r="I141">
        <v>141</v>
      </c>
      <c r="J141">
        <v>15794</v>
      </c>
      <c r="K141">
        <v>7.2</v>
      </c>
      <c r="L141">
        <v>67.900000000000006</v>
      </c>
    </row>
    <row r="142" spans="1:12" x14ac:dyDescent="0.25">
      <c r="A142">
        <v>141</v>
      </c>
      <c r="B142" s="1">
        <v>45925.331875000003</v>
      </c>
      <c r="C142" t="s">
        <v>66</v>
      </c>
      <c r="D142">
        <v>22</v>
      </c>
      <c r="E142" t="s">
        <v>22</v>
      </c>
      <c r="F142" t="s">
        <v>41</v>
      </c>
      <c r="G142">
        <v>19</v>
      </c>
      <c r="H142">
        <v>289</v>
      </c>
      <c r="I142">
        <v>127</v>
      </c>
      <c r="J142">
        <v>2487</v>
      </c>
      <c r="K142">
        <v>7.2</v>
      </c>
      <c r="L142">
        <v>64.8</v>
      </c>
    </row>
    <row r="143" spans="1:12" x14ac:dyDescent="0.25">
      <c r="A143">
        <v>142</v>
      </c>
      <c r="B143" s="1">
        <v>45815.48951388889</v>
      </c>
      <c r="C143" t="s">
        <v>32</v>
      </c>
      <c r="D143">
        <v>42</v>
      </c>
      <c r="E143" t="s">
        <v>13</v>
      </c>
      <c r="F143" t="s">
        <v>17</v>
      </c>
      <c r="G143">
        <v>16</v>
      </c>
      <c r="H143">
        <v>281</v>
      </c>
      <c r="I143">
        <v>110</v>
      </c>
      <c r="J143">
        <v>3402</v>
      </c>
      <c r="K143">
        <v>7.6</v>
      </c>
      <c r="L143">
        <v>78.5</v>
      </c>
    </row>
    <row r="144" spans="1:12" x14ac:dyDescent="0.25">
      <c r="A144">
        <v>143</v>
      </c>
      <c r="B144" s="1">
        <v>45805.449930555558</v>
      </c>
      <c r="C144" t="s">
        <v>68</v>
      </c>
      <c r="D144">
        <v>32</v>
      </c>
      <c r="E144" t="s">
        <v>22</v>
      </c>
      <c r="F144" t="s">
        <v>14</v>
      </c>
      <c r="G144">
        <v>57</v>
      </c>
      <c r="H144">
        <v>254</v>
      </c>
      <c r="I144">
        <v>178</v>
      </c>
      <c r="J144">
        <v>6742</v>
      </c>
      <c r="K144">
        <v>7.5</v>
      </c>
      <c r="L144">
        <v>60.9</v>
      </c>
    </row>
    <row r="145" spans="1:12" x14ac:dyDescent="0.25">
      <c r="A145">
        <v>144</v>
      </c>
      <c r="B145" s="1">
        <v>45811.988819444443</v>
      </c>
      <c r="C145" t="s">
        <v>56</v>
      </c>
      <c r="D145">
        <v>40</v>
      </c>
      <c r="E145" t="s">
        <v>22</v>
      </c>
      <c r="F145" t="s">
        <v>20</v>
      </c>
      <c r="G145">
        <v>112</v>
      </c>
      <c r="H145">
        <v>170</v>
      </c>
      <c r="I145">
        <v>158</v>
      </c>
      <c r="J145">
        <v>11410</v>
      </c>
      <c r="K145">
        <v>6.1</v>
      </c>
      <c r="L145">
        <v>62.9</v>
      </c>
    </row>
    <row r="146" spans="1:12" x14ac:dyDescent="0.25">
      <c r="A146">
        <v>145</v>
      </c>
      <c r="B146" s="1">
        <v>45847.572152777779</v>
      </c>
      <c r="C146" t="s">
        <v>54</v>
      </c>
      <c r="D146">
        <v>57</v>
      </c>
      <c r="E146" t="s">
        <v>13</v>
      </c>
      <c r="F146" t="s">
        <v>41</v>
      </c>
      <c r="G146">
        <v>104</v>
      </c>
      <c r="H146">
        <v>388</v>
      </c>
      <c r="I146">
        <v>140</v>
      </c>
      <c r="J146">
        <v>4991</v>
      </c>
      <c r="K146">
        <v>8.8000000000000007</v>
      </c>
      <c r="L146">
        <v>82.7</v>
      </c>
    </row>
    <row r="147" spans="1:12" x14ac:dyDescent="0.25">
      <c r="A147">
        <v>146</v>
      </c>
      <c r="B147" s="1">
        <v>45776.399930555555</v>
      </c>
      <c r="C147" t="s">
        <v>58</v>
      </c>
      <c r="D147">
        <v>23</v>
      </c>
      <c r="E147" t="s">
        <v>16</v>
      </c>
      <c r="F147" t="s">
        <v>41</v>
      </c>
      <c r="G147">
        <v>112</v>
      </c>
      <c r="H147">
        <v>50</v>
      </c>
      <c r="I147">
        <v>112</v>
      </c>
      <c r="J147">
        <v>9929</v>
      </c>
      <c r="K147">
        <v>3.8</v>
      </c>
      <c r="L147">
        <v>57</v>
      </c>
    </row>
    <row r="148" spans="1:12" x14ac:dyDescent="0.25">
      <c r="A148">
        <v>147</v>
      </c>
      <c r="B148" s="1">
        <v>45776.131180555552</v>
      </c>
      <c r="C148" t="s">
        <v>40</v>
      </c>
      <c r="D148">
        <v>58</v>
      </c>
      <c r="E148" t="s">
        <v>16</v>
      </c>
      <c r="F148" t="s">
        <v>27</v>
      </c>
      <c r="G148">
        <v>114</v>
      </c>
      <c r="H148">
        <v>83</v>
      </c>
      <c r="I148">
        <v>117</v>
      </c>
      <c r="J148">
        <v>2754</v>
      </c>
      <c r="K148">
        <v>6.9</v>
      </c>
      <c r="L148">
        <v>81.2</v>
      </c>
    </row>
    <row r="149" spans="1:12" x14ac:dyDescent="0.25">
      <c r="A149">
        <v>148</v>
      </c>
      <c r="B149" s="1">
        <v>45891.452013888891</v>
      </c>
      <c r="C149" t="s">
        <v>61</v>
      </c>
      <c r="D149">
        <v>43</v>
      </c>
      <c r="E149" t="s">
        <v>22</v>
      </c>
      <c r="F149" t="s">
        <v>25</v>
      </c>
      <c r="G149">
        <v>46</v>
      </c>
      <c r="H149">
        <v>186</v>
      </c>
      <c r="I149">
        <v>78</v>
      </c>
      <c r="J149">
        <v>8109</v>
      </c>
      <c r="K149">
        <v>4.9000000000000004</v>
      </c>
      <c r="L149">
        <v>54.9</v>
      </c>
    </row>
    <row r="150" spans="1:12" x14ac:dyDescent="0.25">
      <c r="A150">
        <v>149</v>
      </c>
      <c r="B150" s="1">
        <v>45797.647152777776</v>
      </c>
      <c r="C150" t="s">
        <v>50</v>
      </c>
      <c r="D150">
        <v>69</v>
      </c>
      <c r="E150" t="s">
        <v>22</v>
      </c>
      <c r="F150" t="s">
        <v>14</v>
      </c>
      <c r="G150">
        <v>75</v>
      </c>
      <c r="H150">
        <v>193</v>
      </c>
      <c r="I150">
        <v>166</v>
      </c>
      <c r="J150">
        <v>10084</v>
      </c>
      <c r="K150">
        <v>7.8</v>
      </c>
      <c r="L150">
        <v>66.099999999999994</v>
      </c>
    </row>
    <row r="151" spans="1:12" x14ac:dyDescent="0.25">
      <c r="A151">
        <v>150</v>
      </c>
      <c r="B151" s="1">
        <v>45901.213819444441</v>
      </c>
      <c r="C151" t="s">
        <v>34</v>
      </c>
      <c r="D151">
        <v>53</v>
      </c>
      <c r="E151" t="s">
        <v>22</v>
      </c>
      <c r="F151" t="s">
        <v>25</v>
      </c>
      <c r="G151">
        <v>79</v>
      </c>
      <c r="H151">
        <v>318</v>
      </c>
      <c r="I151">
        <v>163</v>
      </c>
      <c r="J151">
        <v>18666</v>
      </c>
      <c r="K151">
        <v>6.9</v>
      </c>
      <c r="L151">
        <v>61.9</v>
      </c>
    </row>
    <row r="152" spans="1:12" x14ac:dyDescent="0.25">
      <c r="A152">
        <v>151</v>
      </c>
      <c r="B152" s="1">
        <v>45946.309652777774</v>
      </c>
      <c r="C152" t="s">
        <v>65</v>
      </c>
      <c r="D152">
        <v>16</v>
      </c>
      <c r="E152" t="s">
        <v>13</v>
      </c>
      <c r="F152" t="s">
        <v>14</v>
      </c>
      <c r="G152">
        <v>103</v>
      </c>
      <c r="H152">
        <v>342</v>
      </c>
      <c r="I152">
        <v>102</v>
      </c>
      <c r="J152">
        <v>16531</v>
      </c>
      <c r="K152">
        <v>7</v>
      </c>
      <c r="L152">
        <v>53.4</v>
      </c>
    </row>
    <row r="153" spans="1:12" x14ac:dyDescent="0.25">
      <c r="A153">
        <v>152</v>
      </c>
      <c r="B153" s="1">
        <v>45835.145069444443</v>
      </c>
      <c r="C153" t="s">
        <v>59</v>
      </c>
      <c r="D153">
        <v>67</v>
      </c>
      <c r="E153" t="s">
        <v>16</v>
      </c>
      <c r="F153" t="s">
        <v>27</v>
      </c>
      <c r="G153">
        <v>13</v>
      </c>
      <c r="H153">
        <v>314</v>
      </c>
      <c r="I153">
        <v>67</v>
      </c>
      <c r="J153">
        <v>16791</v>
      </c>
      <c r="K153">
        <v>5.6</v>
      </c>
      <c r="L153">
        <v>80.7</v>
      </c>
    </row>
    <row r="154" spans="1:12" x14ac:dyDescent="0.25">
      <c r="A154">
        <v>153</v>
      </c>
      <c r="B154" s="1">
        <v>45918.622152777774</v>
      </c>
      <c r="C154" t="s">
        <v>56</v>
      </c>
      <c r="D154">
        <v>36</v>
      </c>
      <c r="E154" t="s">
        <v>22</v>
      </c>
      <c r="F154" t="s">
        <v>20</v>
      </c>
      <c r="G154">
        <v>61</v>
      </c>
      <c r="H154">
        <v>169</v>
      </c>
      <c r="I154">
        <v>149</v>
      </c>
      <c r="J154">
        <v>11757</v>
      </c>
      <c r="K154">
        <v>5.2</v>
      </c>
      <c r="L154">
        <v>55.4</v>
      </c>
    </row>
    <row r="155" spans="1:12" x14ac:dyDescent="0.25">
      <c r="A155">
        <v>154</v>
      </c>
      <c r="B155" s="1">
        <v>45837.322152777779</v>
      </c>
      <c r="C155" t="s">
        <v>64</v>
      </c>
      <c r="D155">
        <v>23</v>
      </c>
      <c r="E155" t="s">
        <v>22</v>
      </c>
      <c r="F155" t="s">
        <v>17</v>
      </c>
      <c r="G155">
        <v>82</v>
      </c>
      <c r="H155">
        <v>281</v>
      </c>
      <c r="I155">
        <v>79</v>
      </c>
      <c r="J155">
        <v>22294</v>
      </c>
      <c r="K155">
        <v>5.9</v>
      </c>
      <c r="L155">
        <v>81.3</v>
      </c>
    </row>
    <row r="156" spans="1:12" x14ac:dyDescent="0.25">
      <c r="A156">
        <v>155</v>
      </c>
      <c r="B156" s="1">
        <v>45771.781875000001</v>
      </c>
      <c r="C156" t="s">
        <v>68</v>
      </c>
      <c r="D156">
        <v>39</v>
      </c>
      <c r="E156" t="s">
        <v>13</v>
      </c>
      <c r="F156" t="s">
        <v>20</v>
      </c>
      <c r="G156">
        <v>32</v>
      </c>
      <c r="H156">
        <v>275</v>
      </c>
      <c r="I156">
        <v>144</v>
      </c>
      <c r="J156">
        <v>1354</v>
      </c>
      <c r="K156">
        <v>9.1</v>
      </c>
      <c r="L156">
        <v>73.900000000000006</v>
      </c>
    </row>
    <row r="157" spans="1:12" x14ac:dyDescent="0.25">
      <c r="A157">
        <v>156</v>
      </c>
      <c r="B157" s="1">
        <v>45875.323541666665</v>
      </c>
      <c r="C157" t="s">
        <v>12</v>
      </c>
      <c r="D157">
        <v>34</v>
      </c>
      <c r="E157" t="s">
        <v>13</v>
      </c>
      <c r="F157" t="s">
        <v>14</v>
      </c>
      <c r="G157">
        <v>118</v>
      </c>
      <c r="H157">
        <v>169</v>
      </c>
      <c r="I157">
        <v>140</v>
      </c>
      <c r="J157">
        <v>18420</v>
      </c>
      <c r="K157">
        <v>6</v>
      </c>
      <c r="L157">
        <v>64.2</v>
      </c>
    </row>
    <row r="158" spans="1:12" x14ac:dyDescent="0.25">
      <c r="A158">
        <v>157</v>
      </c>
      <c r="B158" s="1">
        <v>45873.248541666668</v>
      </c>
      <c r="C158" t="s">
        <v>26</v>
      </c>
      <c r="D158">
        <v>33</v>
      </c>
      <c r="E158" t="s">
        <v>22</v>
      </c>
      <c r="F158" t="s">
        <v>17</v>
      </c>
      <c r="G158">
        <v>16</v>
      </c>
      <c r="H158">
        <v>209</v>
      </c>
      <c r="I158">
        <v>111</v>
      </c>
      <c r="J158">
        <v>13085</v>
      </c>
      <c r="K158">
        <v>4.9000000000000004</v>
      </c>
      <c r="L158">
        <v>67.099999999999994</v>
      </c>
    </row>
    <row r="159" spans="1:12" x14ac:dyDescent="0.25">
      <c r="A159">
        <v>158</v>
      </c>
      <c r="B159" s="1">
        <v>45809.966597222221</v>
      </c>
      <c r="C159" t="s">
        <v>31</v>
      </c>
      <c r="D159">
        <v>23</v>
      </c>
      <c r="E159" t="s">
        <v>16</v>
      </c>
      <c r="F159" t="s">
        <v>41</v>
      </c>
      <c r="G159">
        <v>46</v>
      </c>
      <c r="H159">
        <v>279</v>
      </c>
      <c r="I159">
        <v>101</v>
      </c>
      <c r="J159">
        <v>21070</v>
      </c>
      <c r="K159">
        <v>3.2</v>
      </c>
      <c r="L159">
        <v>57.6</v>
      </c>
    </row>
    <row r="160" spans="1:12" x14ac:dyDescent="0.25">
      <c r="A160">
        <v>159</v>
      </c>
      <c r="B160" s="1">
        <v>45785.898541666669</v>
      </c>
      <c r="C160" t="s">
        <v>44</v>
      </c>
      <c r="D160">
        <v>60</v>
      </c>
      <c r="E160" t="s">
        <v>13</v>
      </c>
      <c r="F160" t="s">
        <v>20</v>
      </c>
      <c r="G160">
        <v>115</v>
      </c>
      <c r="H160">
        <v>308</v>
      </c>
      <c r="I160">
        <v>116</v>
      </c>
      <c r="J160">
        <v>15851</v>
      </c>
      <c r="K160">
        <v>6.7</v>
      </c>
      <c r="L160">
        <v>98.3</v>
      </c>
    </row>
    <row r="161" spans="1:12" x14ac:dyDescent="0.25">
      <c r="A161">
        <v>160</v>
      </c>
      <c r="B161" s="1">
        <v>45860.745069444441</v>
      </c>
      <c r="C161" t="s">
        <v>67</v>
      </c>
      <c r="D161">
        <v>64</v>
      </c>
      <c r="E161" t="s">
        <v>16</v>
      </c>
      <c r="F161" t="s">
        <v>25</v>
      </c>
      <c r="G161">
        <v>51</v>
      </c>
      <c r="H161">
        <v>318</v>
      </c>
      <c r="I161">
        <v>68</v>
      </c>
      <c r="J161">
        <v>11677</v>
      </c>
      <c r="K161">
        <v>8.8000000000000007</v>
      </c>
      <c r="L161">
        <v>62.5</v>
      </c>
    </row>
    <row r="162" spans="1:12" x14ac:dyDescent="0.25">
      <c r="A162">
        <v>161</v>
      </c>
      <c r="B162" s="1">
        <v>45878.804097222222</v>
      </c>
      <c r="C162" t="s">
        <v>58</v>
      </c>
      <c r="D162">
        <v>34</v>
      </c>
      <c r="E162" t="s">
        <v>13</v>
      </c>
      <c r="F162" t="s">
        <v>25</v>
      </c>
      <c r="G162">
        <v>18</v>
      </c>
      <c r="H162">
        <v>391</v>
      </c>
      <c r="I162">
        <v>115</v>
      </c>
      <c r="J162">
        <v>16758</v>
      </c>
      <c r="K162">
        <v>3.6</v>
      </c>
      <c r="L162">
        <v>52.9</v>
      </c>
    </row>
    <row r="163" spans="1:12" x14ac:dyDescent="0.25">
      <c r="A163">
        <v>162</v>
      </c>
      <c r="B163" s="1">
        <v>45892.817291666666</v>
      </c>
      <c r="C163" t="s">
        <v>30</v>
      </c>
      <c r="D163">
        <v>48</v>
      </c>
      <c r="E163" t="s">
        <v>22</v>
      </c>
      <c r="F163" t="s">
        <v>20</v>
      </c>
      <c r="G163">
        <v>6</v>
      </c>
      <c r="H163">
        <v>333</v>
      </c>
      <c r="I163">
        <v>102</v>
      </c>
      <c r="J163">
        <v>5521</v>
      </c>
      <c r="K163">
        <v>5.3</v>
      </c>
      <c r="L163">
        <v>72.3</v>
      </c>
    </row>
    <row r="164" spans="1:12" x14ac:dyDescent="0.25">
      <c r="A164">
        <v>163</v>
      </c>
      <c r="B164" s="1">
        <v>45895.095763888887</v>
      </c>
      <c r="C164" t="s">
        <v>46</v>
      </c>
      <c r="D164">
        <v>48</v>
      </c>
      <c r="E164" t="s">
        <v>22</v>
      </c>
      <c r="F164" t="s">
        <v>17</v>
      </c>
      <c r="G164">
        <v>95</v>
      </c>
      <c r="H164">
        <v>339</v>
      </c>
      <c r="I164">
        <v>155</v>
      </c>
      <c r="J164">
        <v>24819</v>
      </c>
      <c r="K164">
        <v>8.1</v>
      </c>
      <c r="L164">
        <v>82.7</v>
      </c>
    </row>
    <row r="165" spans="1:12" x14ac:dyDescent="0.25">
      <c r="A165">
        <v>164</v>
      </c>
      <c r="B165" s="1">
        <v>45902.461736111109</v>
      </c>
      <c r="C165" t="s">
        <v>26</v>
      </c>
      <c r="D165">
        <v>42</v>
      </c>
      <c r="E165" t="s">
        <v>13</v>
      </c>
      <c r="F165" t="s">
        <v>17</v>
      </c>
      <c r="G165">
        <v>71</v>
      </c>
      <c r="H165">
        <v>235</v>
      </c>
      <c r="I165">
        <v>163</v>
      </c>
      <c r="J165">
        <v>22904</v>
      </c>
      <c r="K165">
        <v>3</v>
      </c>
      <c r="L165">
        <v>81.900000000000006</v>
      </c>
    </row>
    <row r="166" spans="1:12" x14ac:dyDescent="0.25">
      <c r="A166">
        <v>165</v>
      </c>
      <c r="B166" s="1">
        <v>45785.724236111113</v>
      </c>
      <c r="C166" t="s">
        <v>65</v>
      </c>
      <c r="D166">
        <v>42</v>
      </c>
      <c r="E166" t="s">
        <v>22</v>
      </c>
      <c r="F166" t="s">
        <v>41</v>
      </c>
      <c r="G166">
        <v>108</v>
      </c>
      <c r="H166">
        <v>316</v>
      </c>
      <c r="I166">
        <v>162</v>
      </c>
      <c r="J166">
        <v>10795</v>
      </c>
      <c r="K166">
        <v>6.3</v>
      </c>
      <c r="L166">
        <v>53.2</v>
      </c>
    </row>
    <row r="167" spans="1:12" x14ac:dyDescent="0.25">
      <c r="A167">
        <v>166</v>
      </c>
      <c r="B167" s="1">
        <v>45946.538819444446</v>
      </c>
      <c r="C167" t="s">
        <v>36</v>
      </c>
      <c r="D167">
        <v>63</v>
      </c>
      <c r="E167" t="s">
        <v>16</v>
      </c>
      <c r="F167" t="s">
        <v>41</v>
      </c>
      <c r="G167">
        <v>93</v>
      </c>
      <c r="H167">
        <v>348</v>
      </c>
      <c r="I167">
        <v>107</v>
      </c>
      <c r="J167">
        <v>8636</v>
      </c>
      <c r="K167">
        <v>4.8</v>
      </c>
      <c r="L167">
        <v>95.4</v>
      </c>
    </row>
    <row r="168" spans="1:12" x14ac:dyDescent="0.25">
      <c r="A168">
        <v>167</v>
      </c>
      <c r="B168" s="1">
        <v>45928.938819444447</v>
      </c>
      <c r="C168" t="s">
        <v>46</v>
      </c>
      <c r="D168">
        <v>52</v>
      </c>
      <c r="E168" t="s">
        <v>22</v>
      </c>
      <c r="F168" t="s">
        <v>27</v>
      </c>
      <c r="G168">
        <v>66</v>
      </c>
      <c r="H168">
        <v>468</v>
      </c>
      <c r="I168">
        <v>140</v>
      </c>
      <c r="J168">
        <v>12933</v>
      </c>
      <c r="K168">
        <v>7.9</v>
      </c>
      <c r="L168">
        <v>85.8</v>
      </c>
    </row>
    <row r="169" spans="1:12" x14ac:dyDescent="0.25">
      <c r="A169">
        <v>168</v>
      </c>
      <c r="B169" s="1">
        <v>45882.514513888891</v>
      </c>
      <c r="C169" t="s">
        <v>34</v>
      </c>
      <c r="D169">
        <v>44</v>
      </c>
      <c r="E169" t="s">
        <v>13</v>
      </c>
      <c r="F169" t="s">
        <v>14</v>
      </c>
      <c r="G169">
        <v>77</v>
      </c>
      <c r="H169">
        <v>264</v>
      </c>
      <c r="I169">
        <v>153</v>
      </c>
      <c r="J169">
        <v>13874</v>
      </c>
      <c r="K169">
        <v>4.2</v>
      </c>
      <c r="L169">
        <v>72.8</v>
      </c>
    </row>
    <row r="170" spans="1:12" x14ac:dyDescent="0.25">
      <c r="A170">
        <v>169</v>
      </c>
      <c r="B170" s="1">
        <v>45824.812430555554</v>
      </c>
      <c r="C170" t="s">
        <v>26</v>
      </c>
      <c r="D170">
        <v>34</v>
      </c>
      <c r="E170" t="s">
        <v>22</v>
      </c>
      <c r="F170" t="s">
        <v>25</v>
      </c>
      <c r="G170">
        <v>94</v>
      </c>
      <c r="H170">
        <v>462</v>
      </c>
      <c r="I170">
        <v>173</v>
      </c>
      <c r="J170">
        <v>19741</v>
      </c>
      <c r="K170">
        <v>3.3</v>
      </c>
      <c r="L170">
        <v>78.599999999999994</v>
      </c>
    </row>
    <row r="171" spans="1:12" x14ac:dyDescent="0.25">
      <c r="A171">
        <v>170</v>
      </c>
      <c r="B171" s="1">
        <v>45858.615902777776</v>
      </c>
      <c r="C171" t="s">
        <v>12</v>
      </c>
      <c r="D171">
        <v>50</v>
      </c>
      <c r="E171" t="s">
        <v>13</v>
      </c>
      <c r="F171" t="s">
        <v>41</v>
      </c>
      <c r="G171">
        <v>18</v>
      </c>
      <c r="H171">
        <v>237</v>
      </c>
      <c r="I171">
        <v>80</v>
      </c>
      <c r="J171">
        <v>23838</v>
      </c>
      <c r="K171">
        <v>9.4</v>
      </c>
      <c r="L171">
        <v>45.3</v>
      </c>
    </row>
    <row r="172" spans="1:12" x14ac:dyDescent="0.25">
      <c r="A172">
        <v>171</v>
      </c>
      <c r="B172" s="1">
        <v>45945.771458333336</v>
      </c>
      <c r="C172" t="s">
        <v>28</v>
      </c>
      <c r="D172">
        <v>40</v>
      </c>
      <c r="E172" t="s">
        <v>13</v>
      </c>
      <c r="F172" t="s">
        <v>23</v>
      </c>
      <c r="G172">
        <v>33</v>
      </c>
      <c r="H172">
        <v>160</v>
      </c>
      <c r="I172">
        <v>143</v>
      </c>
      <c r="J172">
        <v>8970</v>
      </c>
      <c r="K172">
        <v>4.2</v>
      </c>
      <c r="L172">
        <v>79.400000000000006</v>
      </c>
    </row>
    <row r="173" spans="1:12" x14ac:dyDescent="0.25">
      <c r="A173">
        <v>172</v>
      </c>
      <c r="B173" s="1">
        <v>45784.188819444447</v>
      </c>
      <c r="C173" t="s">
        <v>33</v>
      </c>
      <c r="D173">
        <v>42</v>
      </c>
      <c r="E173" t="s">
        <v>13</v>
      </c>
      <c r="F173" t="s">
        <v>14</v>
      </c>
      <c r="G173">
        <v>15</v>
      </c>
      <c r="H173">
        <v>50</v>
      </c>
      <c r="I173">
        <v>162</v>
      </c>
      <c r="J173">
        <v>15138</v>
      </c>
      <c r="K173">
        <v>8.1999999999999993</v>
      </c>
      <c r="L173">
        <v>48.1</v>
      </c>
    </row>
    <row r="174" spans="1:12" x14ac:dyDescent="0.25">
      <c r="A174">
        <v>173</v>
      </c>
      <c r="B174" s="1">
        <v>45895.195763888885</v>
      </c>
      <c r="C174" t="s">
        <v>39</v>
      </c>
      <c r="D174">
        <v>62</v>
      </c>
      <c r="E174" t="s">
        <v>16</v>
      </c>
      <c r="F174" t="s">
        <v>17</v>
      </c>
      <c r="G174">
        <v>22</v>
      </c>
      <c r="H174">
        <v>114</v>
      </c>
      <c r="I174">
        <v>163</v>
      </c>
      <c r="J174">
        <v>14068</v>
      </c>
      <c r="K174">
        <v>3.8</v>
      </c>
      <c r="L174">
        <v>63.3</v>
      </c>
    </row>
    <row r="175" spans="1:12" x14ac:dyDescent="0.25">
      <c r="A175">
        <v>174</v>
      </c>
      <c r="B175" s="1">
        <v>45867.720763888887</v>
      </c>
      <c r="C175" t="s">
        <v>45</v>
      </c>
      <c r="D175">
        <v>29</v>
      </c>
      <c r="E175" t="s">
        <v>22</v>
      </c>
      <c r="F175" t="s">
        <v>14</v>
      </c>
      <c r="G175">
        <v>84</v>
      </c>
      <c r="H175">
        <v>209</v>
      </c>
      <c r="I175">
        <v>135</v>
      </c>
      <c r="J175">
        <v>16733</v>
      </c>
      <c r="K175">
        <v>3.4</v>
      </c>
      <c r="L175">
        <v>81.900000000000006</v>
      </c>
    </row>
    <row r="176" spans="1:12" x14ac:dyDescent="0.25">
      <c r="A176">
        <v>175</v>
      </c>
      <c r="B176" s="1">
        <v>45875.216597222221</v>
      </c>
      <c r="C176" t="s">
        <v>42</v>
      </c>
      <c r="D176">
        <v>31</v>
      </c>
      <c r="E176" t="s">
        <v>16</v>
      </c>
      <c r="F176" t="s">
        <v>25</v>
      </c>
      <c r="G176">
        <v>98</v>
      </c>
      <c r="H176">
        <v>387</v>
      </c>
      <c r="I176">
        <v>128</v>
      </c>
      <c r="J176">
        <v>22336</v>
      </c>
      <c r="K176">
        <v>6.3</v>
      </c>
      <c r="L176">
        <v>91.6</v>
      </c>
    </row>
    <row r="177" spans="1:12" x14ac:dyDescent="0.25">
      <c r="A177">
        <v>176</v>
      </c>
      <c r="B177" s="1">
        <v>45915.521458333336</v>
      </c>
      <c r="C177" t="s">
        <v>57</v>
      </c>
      <c r="D177">
        <v>58</v>
      </c>
      <c r="E177" t="s">
        <v>16</v>
      </c>
      <c r="F177" t="s">
        <v>17</v>
      </c>
      <c r="G177">
        <v>53</v>
      </c>
      <c r="H177">
        <v>236</v>
      </c>
      <c r="I177">
        <v>82</v>
      </c>
      <c r="J177">
        <v>9498</v>
      </c>
      <c r="K177">
        <v>5.4</v>
      </c>
      <c r="L177">
        <v>59.3</v>
      </c>
    </row>
    <row r="178" spans="1:12" x14ac:dyDescent="0.25">
      <c r="A178">
        <v>177</v>
      </c>
      <c r="B178" s="1">
        <v>45892.496458333335</v>
      </c>
      <c r="C178" t="s">
        <v>36</v>
      </c>
      <c r="D178">
        <v>43</v>
      </c>
      <c r="E178" t="s">
        <v>16</v>
      </c>
      <c r="F178" t="s">
        <v>17</v>
      </c>
      <c r="G178">
        <v>96</v>
      </c>
      <c r="H178">
        <v>67</v>
      </c>
      <c r="I178">
        <v>149</v>
      </c>
      <c r="J178">
        <v>21295</v>
      </c>
      <c r="K178">
        <v>9.4</v>
      </c>
      <c r="L178">
        <v>87</v>
      </c>
    </row>
    <row r="179" spans="1:12" x14ac:dyDescent="0.25">
      <c r="A179">
        <v>178</v>
      </c>
      <c r="B179" s="1">
        <v>45866.672152777777</v>
      </c>
      <c r="C179" t="s">
        <v>32</v>
      </c>
      <c r="D179">
        <v>23</v>
      </c>
      <c r="E179" t="s">
        <v>22</v>
      </c>
      <c r="F179" t="s">
        <v>27</v>
      </c>
      <c r="G179">
        <v>18</v>
      </c>
      <c r="H179">
        <v>325</v>
      </c>
      <c r="I179">
        <v>76</v>
      </c>
      <c r="J179">
        <v>19575</v>
      </c>
      <c r="K179">
        <v>9.4</v>
      </c>
      <c r="L179">
        <v>80.099999999999994</v>
      </c>
    </row>
    <row r="180" spans="1:12" x14ac:dyDescent="0.25">
      <c r="A180">
        <v>179</v>
      </c>
      <c r="B180" s="1">
        <v>45932.204097222224</v>
      </c>
      <c r="C180" t="s">
        <v>51</v>
      </c>
      <c r="D180">
        <v>68</v>
      </c>
      <c r="E180" t="s">
        <v>16</v>
      </c>
      <c r="F180" t="s">
        <v>23</v>
      </c>
      <c r="G180">
        <v>70</v>
      </c>
      <c r="H180">
        <v>151</v>
      </c>
      <c r="I180">
        <v>108</v>
      </c>
      <c r="J180">
        <v>12397</v>
      </c>
      <c r="K180">
        <v>7.6</v>
      </c>
      <c r="L180">
        <v>96.3</v>
      </c>
    </row>
    <row r="181" spans="1:12" x14ac:dyDescent="0.25">
      <c r="A181">
        <v>180</v>
      </c>
      <c r="B181" s="1">
        <v>45926.463819444441</v>
      </c>
      <c r="C181" t="s">
        <v>50</v>
      </c>
      <c r="D181">
        <v>20</v>
      </c>
      <c r="E181" t="s">
        <v>16</v>
      </c>
      <c r="F181" t="s">
        <v>23</v>
      </c>
      <c r="G181">
        <v>26</v>
      </c>
      <c r="H181">
        <v>376</v>
      </c>
      <c r="I181">
        <v>150</v>
      </c>
      <c r="J181">
        <v>20748</v>
      </c>
      <c r="K181">
        <v>3.7</v>
      </c>
      <c r="L181">
        <v>69.2</v>
      </c>
    </row>
    <row r="182" spans="1:12" x14ac:dyDescent="0.25">
      <c r="A182">
        <v>181</v>
      </c>
      <c r="B182" s="1">
        <v>45810.081180555557</v>
      </c>
      <c r="C182" t="s">
        <v>32</v>
      </c>
      <c r="D182">
        <v>17</v>
      </c>
      <c r="E182" t="s">
        <v>16</v>
      </c>
      <c r="F182" t="s">
        <v>25</v>
      </c>
      <c r="G182">
        <v>13</v>
      </c>
      <c r="H182">
        <v>326</v>
      </c>
      <c r="I182">
        <v>159</v>
      </c>
      <c r="J182">
        <v>960</v>
      </c>
      <c r="K182">
        <v>4.9000000000000004</v>
      </c>
      <c r="L182">
        <v>62.4</v>
      </c>
    </row>
    <row r="183" spans="1:12" x14ac:dyDescent="0.25">
      <c r="A183">
        <v>182</v>
      </c>
      <c r="B183" s="1">
        <v>45812.688819444447</v>
      </c>
      <c r="C183" t="s">
        <v>46</v>
      </c>
      <c r="D183">
        <v>45</v>
      </c>
      <c r="E183" t="s">
        <v>16</v>
      </c>
      <c r="F183" t="s">
        <v>20</v>
      </c>
      <c r="G183">
        <v>54</v>
      </c>
      <c r="H183">
        <v>365</v>
      </c>
      <c r="I183">
        <v>125</v>
      </c>
      <c r="J183">
        <v>15014</v>
      </c>
      <c r="K183">
        <v>7.7</v>
      </c>
      <c r="L183">
        <v>48.3</v>
      </c>
    </row>
    <row r="184" spans="1:12" x14ac:dyDescent="0.25">
      <c r="A184">
        <v>183</v>
      </c>
      <c r="B184" s="1">
        <v>45835.053402777776</v>
      </c>
      <c r="C184" t="s">
        <v>62</v>
      </c>
      <c r="D184">
        <v>69</v>
      </c>
      <c r="E184" t="s">
        <v>22</v>
      </c>
      <c r="F184" t="s">
        <v>27</v>
      </c>
      <c r="G184">
        <v>22</v>
      </c>
      <c r="H184">
        <v>369</v>
      </c>
      <c r="I184">
        <v>106</v>
      </c>
      <c r="J184">
        <v>14396</v>
      </c>
      <c r="K184">
        <v>6.6</v>
      </c>
      <c r="L184">
        <v>65.7</v>
      </c>
    </row>
    <row r="185" spans="1:12" x14ac:dyDescent="0.25">
      <c r="A185">
        <v>184</v>
      </c>
      <c r="B185" s="1">
        <v>45782.497152777774</v>
      </c>
      <c r="C185" t="s">
        <v>12</v>
      </c>
      <c r="D185">
        <v>31</v>
      </c>
      <c r="E185" t="s">
        <v>22</v>
      </c>
      <c r="F185" t="s">
        <v>14</v>
      </c>
      <c r="G185">
        <v>90</v>
      </c>
      <c r="H185">
        <v>187</v>
      </c>
      <c r="I185">
        <v>136</v>
      </c>
      <c r="J185">
        <v>22910</v>
      </c>
      <c r="K185">
        <v>3.6</v>
      </c>
      <c r="L185">
        <v>57.1</v>
      </c>
    </row>
    <row r="186" spans="1:12" x14ac:dyDescent="0.25">
      <c r="A186">
        <v>185</v>
      </c>
      <c r="B186" s="1">
        <v>45922.019375000003</v>
      </c>
      <c r="C186" t="s">
        <v>57</v>
      </c>
      <c r="D186">
        <v>68</v>
      </c>
      <c r="E186" t="s">
        <v>13</v>
      </c>
      <c r="F186" t="s">
        <v>23</v>
      </c>
      <c r="G186">
        <v>95</v>
      </c>
      <c r="H186">
        <v>362</v>
      </c>
      <c r="I186">
        <v>165</v>
      </c>
      <c r="J186">
        <v>8877</v>
      </c>
      <c r="K186">
        <v>6.1</v>
      </c>
      <c r="L186">
        <v>47.9</v>
      </c>
    </row>
    <row r="187" spans="1:12" x14ac:dyDescent="0.25">
      <c r="A187">
        <v>186</v>
      </c>
      <c r="B187" s="1">
        <v>45885.050625000003</v>
      </c>
      <c r="C187" t="s">
        <v>63</v>
      </c>
      <c r="D187">
        <v>16</v>
      </c>
      <c r="E187" t="s">
        <v>13</v>
      </c>
      <c r="F187" t="s">
        <v>23</v>
      </c>
      <c r="G187">
        <v>13</v>
      </c>
      <c r="H187">
        <v>312</v>
      </c>
      <c r="I187">
        <v>85</v>
      </c>
      <c r="J187">
        <v>3126</v>
      </c>
      <c r="K187">
        <v>5.9</v>
      </c>
      <c r="L187">
        <v>66.2</v>
      </c>
    </row>
    <row r="188" spans="1:12" x14ac:dyDescent="0.25">
      <c r="A188">
        <v>187</v>
      </c>
      <c r="B188" s="1">
        <v>45846.914513888885</v>
      </c>
      <c r="C188" t="s">
        <v>48</v>
      </c>
      <c r="D188">
        <v>39</v>
      </c>
      <c r="E188" t="s">
        <v>13</v>
      </c>
      <c r="F188" t="s">
        <v>27</v>
      </c>
      <c r="G188">
        <v>105</v>
      </c>
      <c r="H188">
        <v>269</v>
      </c>
      <c r="I188">
        <v>111</v>
      </c>
      <c r="J188">
        <v>22972</v>
      </c>
      <c r="K188">
        <v>5.5</v>
      </c>
      <c r="L188">
        <v>59</v>
      </c>
    </row>
    <row r="189" spans="1:12" x14ac:dyDescent="0.25">
      <c r="A189">
        <v>188</v>
      </c>
      <c r="B189" s="1">
        <v>45860.903402777774</v>
      </c>
      <c r="C189" t="s">
        <v>65</v>
      </c>
      <c r="D189">
        <v>69</v>
      </c>
      <c r="E189" t="s">
        <v>13</v>
      </c>
      <c r="F189" t="s">
        <v>17</v>
      </c>
      <c r="G189">
        <v>112</v>
      </c>
      <c r="H189">
        <v>335</v>
      </c>
      <c r="I189">
        <v>86</v>
      </c>
      <c r="J189">
        <v>17624</v>
      </c>
      <c r="K189">
        <v>8.3000000000000007</v>
      </c>
      <c r="L189">
        <v>76.900000000000006</v>
      </c>
    </row>
    <row r="190" spans="1:12" x14ac:dyDescent="0.25">
      <c r="A190">
        <v>189</v>
      </c>
      <c r="B190" s="1">
        <v>45888.426319444443</v>
      </c>
      <c r="C190" t="s">
        <v>48</v>
      </c>
      <c r="D190">
        <v>34</v>
      </c>
      <c r="E190" t="s">
        <v>16</v>
      </c>
      <c r="F190" t="s">
        <v>23</v>
      </c>
      <c r="G190">
        <v>112</v>
      </c>
      <c r="H190">
        <v>311</v>
      </c>
      <c r="I190">
        <v>163</v>
      </c>
      <c r="J190">
        <v>11583</v>
      </c>
      <c r="K190">
        <v>4.7</v>
      </c>
      <c r="L190">
        <v>71.7</v>
      </c>
    </row>
    <row r="191" spans="1:12" x14ac:dyDescent="0.25">
      <c r="A191">
        <v>190</v>
      </c>
      <c r="B191" s="1">
        <v>45932.376319444447</v>
      </c>
      <c r="C191" t="s">
        <v>66</v>
      </c>
      <c r="D191">
        <v>53</v>
      </c>
      <c r="E191" t="s">
        <v>13</v>
      </c>
      <c r="F191" t="s">
        <v>23</v>
      </c>
      <c r="G191">
        <v>100</v>
      </c>
      <c r="H191">
        <v>381</v>
      </c>
      <c r="I191">
        <v>127</v>
      </c>
      <c r="J191">
        <v>10074</v>
      </c>
      <c r="K191">
        <v>6</v>
      </c>
      <c r="L191">
        <v>90.3</v>
      </c>
    </row>
    <row r="192" spans="1:12" x14ac:dyDescent="0.25">
      <c r="A192">
        <v>191</v>
      </c>
      <c r="B192" s="1">
        <v>45823.924930555557</v>
      </c>
      <c r="C192" t="s">
        <v>37</v>
      </c>
      <c r="D192">
        <v>60</v>
      </c>
      <c r="E192" t="s">
        <v>16</v>
      </c>
      <c r="F192" t="s">
        <v>23</v>
      </c>
      <c r="G192">
        <v>95</v>
      </c>
      <c r="H192">
        <v>302</v>
      </c>
      <c r="I192">
        <v>115</v>
      </c>
      <c r="J192">
        <v>12602</v>
      </c>
      <c r="K192">
        <v>4.2</v>
      </c>
      <c r="L192">
        <v>67.8</v>
      </c>
    </row>
    <row r="193" spans="1:12" x14ac:dyDescent="0.25">
      <c r="A193">
        <v>192</v>
      </c>
      <c r="B193" s="1">
        <v>45777.329791666663</v>
      </c>
      <c r="C193" t="s">
        <v>39</v>
      </c>
      <c r="D193">
        <v>54</v>
      </c>
      <c r="E193" t="s">
        <v>13</v>
      </c>
      <c r="F193" t="s">
        <v>23</v>
      </c>
      <c r="G193">
        <v>97</v>
      </c>
      <c r="H193">
        <v>274</v>
      </c>
      <c r="I193">
        <v>179</v>
      </c>
      <c r="J193">
        <v>13971</v>
      </c>
      <c r="K193">
        <v>7.4</v>
      </c>
      <c r="L193">
        <v>87</v>
      </c>
    </row>
    <row r="194" spans="1:12" x14ac:dyDescent="0.25">
      <c r="A194">
        <v>193</v>
      </c>
      <c r="B194" s="1">
        <v>45841.681875000002</v>
      </c>
      <c r="C194" t="s">
        <v>57</v>
      </c>
      <c r="D194">
        <v>64</v>
      </c>
      <c r="E194" t="s">
        <v>22</v>
      </c>
      <c r="F194" t="s">
        <v>17</v>
      </c>
      <c r="G194">
        <v>61</v>
      </c>
      <c r="H194">
        <v>377</v>
      </c>
      <c r="I194">
        <v>149</v>
      </c>
      <c r="J194">
        <v>13152</v>
      </c>
      <c r="K194">
        <v>6.9</v>
      </c>
      <c r="L194">
        <v>83.4</v>
      </c>
    </row>
    <row r="195" spans="1:12" x14ac:dyDescent="0.25">
      <c r="A195">
        <v>194</v>
      </c>
      <c r="B195" s="1">
        <v>45793.115902777776</v>
      </c>
      <c r="C195" t="s">
        <v>37</v>
      </c>
      <c r="D195">
        <v>30</v>
      </c>
      <c r="E195" t="s">
        <v>16</v>
      </c>
      <c r="F195" t="s">
        <v>27</v>
      </c>
      <c r="G195">
        <v>112</v>
      </c>
      <c r="H195">
        <v>208</v>
      </c>
      <c r="I195">
        <v>148</v>
      </c>
      <c r="J195">
        <v>17539</v>
      </c>
      <c r="K195">
        <v>5.0999999999999996</v>
      </c>
      <c r="L195">
        <v>44.3</v>
      </c>
    </row>
    <row r="196" spans="1:12" x14ac:dyDescent="0.25">
      <c r="A196">
        <v>195</v>
      </c>
      <c r="B196" s="1">
        <v>45883.824236111112</v>
      </c>
      <c r="C196" t="s">
        <v>61</v>
      </c>
      <c r="D196">
        <v>66</v>
      </c>
      <c r="E196" t="s">
        <v>16</v>
      </c>
      <c r="F196" t="s">
        <v>20</v>
      </c>
      <c r="G196">
        <v>116</v>
      </c>
      <c r="H196">
        <v>192</v>
      </c>
      <c r="I196">
        <v>155</v>
      </c>
      <c r="J196">
        <v>1803</v>
      </c>
      <c r="K196">
        <v>8.8000000000000007</v>
      </c>
      <c r="L196">
        <v>71.2</v>
      </c>
    </row>
    <row r="197" spans="1:12" x14ac:dyDescent="0.25">
      <c r="A197">
        <v>196</v>
      </c>
      <c r="B197" s="1">
        <v>45805.542291666665</v>
      </c>
      <c r="C197" t="s">
        <v>46</v>
      </c>
      <c r="D197">
        <v>62</v>
      </c>
      <c r="E197" t="s">
        <v>16</v>
      </c>
      <c r="F197" t="s">
        <v>23</v>
      </c>
      <c r="G197">
        <v>84</v>
      </c>
      <c r="H197">
        <v>435</v>
      </c>
      <c r="I197">
        <v>130</v>
      </c>
      <c r="J197">
        <v>18532</v>
      </c>
      <c r="K197">
        <v>6.8</v>
      </c>
      <c r="L197">
        <v>46.2</v>
      </c>
    </row>
    <row r="198" spans="1:12" x14ac:dyDescent="0.25">
      <c r="A198">
        <v>197</v>
      </c>
      <c r="B198" s="1">
        <v>45940.938819444447</v>
      </c>
      <c r="C198" t="s">
        <v>52</v>
      </c>
      <c r="D198">
        <v>17</v>
      </c>
      <c r="E198" t="s">
        <v>13</v>
      </c>
      <c r="F198" t="s">
        <v>23</v>
      </c>
      <c r="G198">
        <v>65</v>
      </c>
      <c r="H198">
        <v>408</v>
      </c>
      <c r="I198">
        <v>73</v>
      </c>
      <c r="J198">
        <v>8355</v>
      </c>
      <c r="K198">
        <v>4.2</v>
      </c>
      <c r="L198">
        <v>89.4</v>
      </c>
    </row>
    <row r="199" spans="1:12" x14ac:dyDescent="0.25">
      <c r="A199">
        <v>198</v>
      </c>
      <c r="B199" s="1">
        <v>45820.204097222224</v>
      </c>
      <c r="C199" t="s">
        <v>61</v>
      </c>
      <c r="D199">
        <v>41</v>
      </c>
      <c r="E199" t="s">
        <v>22</v>
      </c>
      <c r="F199" t="s">
        <v>17</v>
      </c>
      <c r="G199">
        <v>99</v>
      </c>
      <c r="H199">
        <v>585</v>
      </c>
      <c r="I199">
        <v>89</v>
      </c>
      <c r="J199">
        <v>22822</v>
      </c>
      <c r="K199">
        <v>8</v>
      </c>
      <c r="L199">
        <v>59.3</v>
      </c>
    </row>
    <row r="200" spans="1:12" x14ac:dyDescent="0.25">
      <c r="A200">
        <v>199</v>
      </c>
      <c r="B200" s="1">
        <v>45941.901319444441</v>
      </c>
      <c r="C200" t="s">
        <v>69</v>
      </c>
      <c r="D200">
        <v>66</v>
      </c>
      <c r="E200" t="s">
        <v>22</v>
      </c>
      <c r="F200" t="s">
        <v>23</v>
      </c>
      <c r="G200">
        <v>74</v>
      </c>
      <c r="H200">
        <v>230</v>
      </c>
      <c r="I200">
        <v>72</v>
      </c>
      <c r="J200">
        <v>16001</v>
      </c>
      <c r="K200">
        <v>4.3</v>
      </c>
      <c r="L200">
        <v>98.6</v>
      </c>
    </row>
    <row r="201" spans="1:12" x14ac:dyDescent="0.25">
      <c r="A201">
        <v>200</v>
      </c>
      <c r="B201" s="1">
        <v>45849.199930555558</v>
      </c>
      <c r="C201" t="s">
        <v>70</v>
      </c>
      <c r="D201">
        <v>44</v>
      </c>
      <c r="E201" t="s">
        <v>22</v>
      </c>
      <c r="F201" t="s">
        <v>41</v>
      </c>
      <c r="G201">
        <v>68</v>
      </c>
      <c r="H201">
        <v>241</v>
      </c>
      <c r="I201">
        <v>80</v>
      </c>
      <c r="J201">
        <v>7358</v>
      </c>
      <c r="K201">
        <v>7.4</v>
      </c>
      <c r="L201">
        <v>72.099999999999994</v>
      </c>
    </row>
  </sheetData>
  <autoFilter ref="A1:L2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topLeftCell="C180" workbookViewId="0">
      <selection activeCell="B2" sqref="B2"/>
    </sheetView>
  </sheetViews>
  <sheetFormatPr defaultRowHeight="15" x14ac:dyDescent="0.25"/>
  <cols>
    <col min="2" max="2" width="19.140625" customWidth="1"/>
    <col min="5" max="5" width="11.28515625" customWidth="1"/>
    <col min="6" max="6" width="17.5703125" customWidth="1"/>
    <col min="7" max="7" width="13" customWidth="1"/>
    <col min="8" max="8" width="17.28515625" customWidth="1"/>
    <col min="9" max="9" width="12.7109375" customWidth="1"/>
    <col min="10" max="10" width="11.7109375" customWidth="1"/>
    <col min="11" max="11" width="11.42578125" customWidth="1"/>
    <col min="12" max="12" width="10.85546875" customWidth="1"/>
    <col min="13" max="13" width="16.140625" customWidth="1"/>
  </cols>
  <sheetData>
    <row r="1" spans="1:13" x14ac:dyDescent="0.25">
      <c r="A1" t="s">
        <v>0</v>
      </c>
      <c r="B1" t="s">
        <v>1</v>
      </c>
      <c r="C1" t="s">
        <v>2</v>
      </c>
      <c r="D1" s="2" t="s">
        <v>3</v>
      </c>
      <c r="E1" s="3" t="s">
        <v>4</v>
      </c>
      <c r="F1" s="3" t="s">
        <v>5</v>
      </c>
      <c r="G1" s="2" t="s">
        <v>6</v>
      </c>
      <c r="H1" s="2" t="s">
        <v>7</v>
      </c>
      <c r="I1" s="2" t="s">
        <v>8</v>
      </c>
      <c r="J1" s="2" t="s">
        <v>9</v>
      </c>
      <c r="K1" s="2" t="s">
        <v>10</v>
      </c>
      <c r="L1" t="s">
        <v>11</v>
      </c>
      <c r="M1" s="2" t="s">
        <v>71</v>
      </c>
    </row>
    <row r="2" spans="1:13" x14ac:dyDescent="0.25">
      <c r="A2">
        <v>1</v>
      </c>
      <c r="B2" s="1">
        <v>45860.390902777777</v>
      </c>
      <c r="C2" t="s">
        <v>12</v>
      </c>
      <c r="D2">
        <v>67</v>
      </c>
      <c r="E2" t="s">
        <v>13</v>
      </c>
      <c r="F2" t="s">
        <v>14</v>
      </c>
      <c r="G2">
        <v>7</v>
      </c>
      <c r="H2">
        <v>322</v>
      </c>
      <c r="I2">
        <v>175</v>
      </c>
      <c r="J2">
        <v>3591</v>
      </c>
      <c r="K2">
        <v>7</v>
      </c>
      <c r="L2">
        <v>84.3</v>
      </c>
      <c r="M2" t="str" cm="1">
        <f t="array" ref="M2">_xlfn.IFS(D6&lt;=30,"Young",D6&lt;55,"Middle age",D6&gt;54,"Senior")</f>
        <v>Middle age</v>
      </c>
    </row>
    <row r="3" spans="1:13" x14ac:dyDescent="0.25">
      <c r="A3">
        <v>2</v>
      </c>
      <c r="B3" s="1">
        <v>45805.579097222224</v>
      </c>
      <c r="C3" t="s">
        <v>15</v>
      </c>
      <c r="D3">
        <v>16</v>
      </c>
      <c r="E3" t="s">
        <v>16</v>
      </c>
      <c r="F3" t="s">
        <v>17</v>
      </c>
      <c r="G3">
        <v>83</v>
      </c>
      <c r="H3">
        <v>265</v>
      </c>
      <c r="I3">
        <v>113</v>
      </c>
      <c r="J3">
        <v>22312</v>
      </c>
      <c r="K3">
        <v>5.7</v>
      </c>
      <c r="L3">
        <v>79.599999999999994</v>
      </c>
      <c r="M3" t="str" cm="1">
        <f t="array" ref="M3">_xlfn.IFS(D7&lt;=30,"Young",D7&lt;55,"Middle age",D7&gt;54,"Senior")</f>
        <v>Middle age</v>
      </c>
    </row>
    <row r="4" spans="1:13" x14ac:dyDescent="0.25">
      <c r="A4">
        <v>3</v>
      </c>
      <c r="B4" s="1">
        <v>45876.067291666666</v>
      </c>
      <c r="C4" t="s">
        <v>18</v>
      </c>
      <c r="D4">
        <v>62</v>
      </c>
      <c r="E4" t="s">
        <v>16</v>
      </c>
      <c r="F4" t="s">
        <v>14</v>
      </c>
      <c r="G4">
        <v>118</v>
      </c>
      <c r="H4">
        <v>508</v>
      </c>
      <c r="I4">
        <v>98</v>
      </c>
      <c r="J4">
        <v>5418</v>
      </c>
      <c r="K4">
        <v>6.6</v>
      </c>
      <c r="L4">
        <v>88.3</v>
      </c>
      <c r="M4" t="str" cm="1">
        <f t="array" ref="M4">_xlfn.IFS(D8&lt;=30,"Young",D8&lt;55,"Middle age",D8&gt;54,"Senior")</f>
        <v>Senior</v>
      </c>
    </row>
    <row r="5" spans="1:13" x14ac:dyDescent="0.25">
      <c r="A5">
        <v>4</v>
      </c>
      <c r="B5" s="1">
        <v>45855.081180555557</v>
      </c>
      <c r="C5" t="s">
        <v>19</v>
      </c>
      <c r="D5">
        <v>56</v>
      </c>
      <c r="E5" t="s">
        <v>16</v>
      </c>
      <c r="F5" t="s">
        <v>20</v>
      </c>
      <c r="G5">
        <v>75</v>
      </c>
      <c r="H5">
        <v>270</v>
      </c>
      <c r="I5">
        <v>150</v>
      </c>
      <c r="J5">
        <v>19809</v>
      </c>
      <c r="K5">
        <v>7.9</v>
      </c>
      <c r="L5">
        <v>69</v>
      </c>
      <c r="M5" t="str" cm="1">
        <f t="array" ref="M5">_xlfn.IFS(D9&lt;=30,"Young",D9&lt;55,"Middle age",D9&gt;54,"Senior")</f>
        <v>Middle age</v>
      </c>
    </row>
    <row r="6" spans="1:13" x14ac:dyDescent="0.25">
      <c r="A6">
        <v>5</v>
      </c>
      <c r="B6" s="1">
        <v>45880.140902777777</v>
      </c>
      <c r="C6" t="s">
        <v>21</v>
      </c>
      <c r="D6">
        <v>42</v>
      </c>
      <c r="E6" t="s">
        <v>22</v>
      </c>
      <c r="F6" t="s">
        <v>23</v>
      </c>
      <c r="G6">
        <v>76</v>
      </c>
      <c r="H6">
        <v>308</v>
      </c>
      <c r="I6">
        <v>141</v>
      </c>
      <c r="J6">
        <v>12562</v>
      </c>
      <c r="K6">
        <v>5</v>
      </c>
      <c r="L6">
        <v>61.6</v>
      </c>
      <c r="M6" t="str" cm="1">
        <f t="array" ref="M6">_xlfn.IFS(D10&lt;=30,"Young",D10&lt;55,"Middle age",D10&gt;54,"Senior")</f>
        <v>Senior</v>
      </c>
    </row>
    <row r="7" spans="1:13" x14ac:dyDescent="0.25">
      <c r="A7">
        <v>6</v>
      </c>
      <c r="B7" s="1">
        <v>45863.542291666665</v>
      </c>
      <c r="C7" t="s">
        <v>24</v>
      </c>
      <c r="D7">
        <v>39</v>
      </c>
      <c r="E7" t="s">
        <v>16</v>
      </c>
      <c r="F7" t="s">
        <v>25</v>
      </c>
      <c r="G7">
        <v>50</v>
      </c>
      <c r="H7">
        <v>471</v>
      </c>
      <c r="I7">
        <v>163</v>
      </c>
      <c r="J7">
        <v>23432</v>
      </c>
      <c r="K7">
        <v>7.4</v>
      </c>
      <c r="L7">
        <v>98.7</v>
      </c>
      <c r="M7" t="str" cm="1">
        <f t="array" ref="M7">_xlfn.IFS(D11&lt;=30,"Young",D11&lt;55,"Middle age",D11&gt;54,"Senior")</f>
        <v>Young</v>
      </c>
    </row>
    <row r="8" spans="1:13" x14ac:dyDescent="0.25">
      <c r="A8">
        <v>7</v>
      </c>
      <c r="B8" s="1">
        <v>45798.366597222222</v>
      </c>
      <c r="C8" t="s">
        <v>26</v>
      </c>
      <c r="D8">
        <v>61</v>
      </c>
      <c r="E8" t="s">
        <v>22</v>
      </c>
      <c r="F8" t="s">
        <v>27</v>
      </c>
      <c r="G8">
        <v>88</v>
      </c>
      <c r="H8">
        <v>238</v>
      </c>
      <c r="I8">
        <v>78</v>
      </c>
      <c r="J8">
        <v>14851</v>
      </c>
      <c r="K8">
        <v>6.8</v>
      </c>
      <c r="L8">
        <v>61.8</v>
      </c>
      <c r="M8" t="str" cm="1">
        <f t="array" ref="M8">_xlfn.IFS(D12&lt;=30,"Young",D12&lt;55,"Middle age",D12&gt;54,"Senior")</f>
        <v>Senior</v>
      </c>
    </row>
    <row r="9" spans="1:13" x14ac:dyDescent="0.25">
      <c r="A9">
        <v>8</v>
      </c>
      <c r="B9" s="1">
        <v>45836.604097222225</v>
      </c>
      <c r="C9" t="s">
        <v>28</v>
      </c>
      <c r="D9">
        <v>46</v>
      </c>
      <c r="E9" t="s">
        <v>16</v>
      </c>
      <c r="F9" t="s">
        <v>23</v>
      </c>
      <c r="G9">
        <v>39</v>
      </c>
      <c r="H9">
        <v>133</v>
      </c>
      <c r="I9">
        <v>179</v>
      </c>
      <c r="J9">
        <v>15351</v>
      </c>
      <c r="K9">
        <v>4.5</v>
      </c>
      <c r="L9">
        <v>46</v>
      </c>
      <c r="M9" t="str" cm="1">
        <f t="array" ref="M9">_xlfn.IFS(D13&lt;=30,"Young",D13&lt;55,"Middle age",D13&gt;54,"Senior")</f>
        <v>Middle age</v>
      </c>
    </row>
    <row r="10" spans="1:13" x14ac:dyDescent="0.25">
      <c r="A10">
        <v>9</v>
      </c>
      <c r="B10" s="1">
        <v>45871.831875000003</v>
      </c>
      <c r="C10" t="s">
        <v>29</v>
      </c>
      <c r="D10">
        <v>63</v>
      </c>
      <c r="E10" t="s">
        <v>13</v>
      </c>
      <c r="F10" t="s">
        <v>20</v>
      </c>
      <c r="G10">
        <v>10</v>
      </c>
      <c r="H10">
        <v>500</v>
      </c>
      <c r="I10">
        <v>82</v>
      </c>
      <c r="J10">
        <v>13072</v>
      </c>
      <c r="K10">
        <v>4.7</v>
      </c>
      <c r="L10">
        <v>72.599999999999994</v>
      </c>
      <c r="M10" t="str" cm="1">
        <f t="array" ref="M10">_xlfn.IFS(D14&lt;=30,"Young",D14&lt;55,"Middle age",D14&gt;54,"Senior")</f>
        <v>Middle age</v>
      </c>
    </row>
    <row r="11" spans="1:13" x14ac:dyDescent="0.25">
      <c r="A11">
        <v>10</v>
      </c>
      <c r="B11" s="1">
        <v>45900.413124999999</v>
      </c>
      <c r="C11" t="s">
        <v>30</v>
      </c>
      <c r="D11">
        <v>27</v>
      </c>
      <c r="E11" t="s">
        <v>22</v>
      </c>
      <c r="F11" t="s">
        <v>20</v>
      </c>
      <c r="G11">
        <v>100</v>
      </c>
      <c r="H11">
        <v>210</v>
      </c>
      <c r="I11">
        <v>165</v>
      </c>
      <c r="J11">
        <v>22439</v>
      </c>
      <c r="K11">
        <v>6.3</v>
      </c>
      <c r="L11">
        <v>73.7</v>
      </c>
      <c r="M11" t="str" cm="1">
        <f t="array" ref="M11">_xlfn.IFS(D15&lt;=30,"Young",D15&lt;55,"Middle age",D15&gt;54,"Senior")</f>
        <v>Middle age</v>
      </c>
    </row>
    <row r="12" spans="1:13" x14ac:dyDescent="0.25">
      <c r="A12">
        <v>11</v>
      </c>
      <c r="B12" s="1">
        <v>45795.274236111109</v>
      </c>
      <c r="C12" t="s">
        <v>31</v>
      </c>
      <c r="D12">
        <v>58</v>
      </c>
      <c r="E12" t="s">
        <v>22</v>
      </c>
      <c r="F12" t="s">
        <v>27</v>
      </c>
      <c r="G12">
        <v>16</v>
      </c>
      <c r="H12">
        <v>256</v>
      </c>
      <c r="I12">
        <v>73</v>
      </c>
      <c r="J12">
        <v>16338</v>
      </c>
      <c r="K12">
        <v>7.3</v>
      </c>
      <c r="L12">
        <v>69.400000000000006</v>
      </c>
      <c r="M12" t="str" cm="1">
        <f t="array" ref="M12">_xlfn.IFS(D16&lt;=30,"Young",D16&lt;55,"Middle age",D16&gt;54,"Senior")</f>
        <v>Middle age</v>
      </c>
    </row>
    <row r="13" spans="1:13" x14ac:dyDescent="0.25">
      <c r="A13">
        <v>12</v>
      </c>
      <c r="B13" s="1">
        <v>45821.680486111109</v>
      </c>
      <c r="C13" t="s">
        <v>32</v>
      </c>
      <c r="D13">
        <v>52</v>
      </c>
      <c r="E13" t="s">
        <v>13</v>
      </c>
      <c r="F13" t="s">
        <v>23</v>
      </c>
      <c r="G13">
        <v>49</v>
      </c>
      <c r="H13">
        <v>376</v>
      </c>
      <c r="I13">
        <v>102</v>
      </c>
      <c r="J13">
        <v>11601</v>
      </c>
      <c r="K13">
        <v>9.1999999999999993</v>
      </c>
      <c r="L13">
        <v>82.3</v>
      </c>
      <c r="M13" t="str" cm="1">
        <f t="array" ref="M13">_xlfn.IFS(D17&lt;=30,"Young",D17&lt;55,"Middle age",D17&gt;54,"Senior")</f>
        <v>Middle age</v>
      </c>
    </row>
    <row r="14" spans="1:13" x14ac:dyDescent="0.25">
      <c r="A14">
        <v>13</v>
      </c>
      <c r="B14" s="1">
        <v>45846.914513888885</v>
      </c>
      <c r="C14" t="s">
        <v>33</v>
      </c>
      <c r="D14">
        <v>39</v>
      </c>
      <c r="E14" t="s">
        <v>16</v>
      </c>
      <c r="F14" t="s">
        <v>20</v>
      </c>
      <c r="G14">
        <v>74</v>
      </c>
      <c r="H14">
        <v>293</v>
      </c>
      <c r="I14">
        <v>172</v>
      </c>
      <c r="J14">
        <v>24435</v>
      </c>
      <c r="K14">
        <v>3.2</v>
      </c>
      <c r="L14">
        <v>72.7</v>
      </c>
      <c r="M14" t="str" cm="1">
        <f t="array" ref="M14">_xlfn.IFS(D18&lt;=30,"Young",D18&lt;55,"Middle age",D18&gt;54,"Senior")</f>
        <v>Middle age</v>
      </c>
    </row>
    <row r="15" spans="1:13" x14ac:dyDescent="0.25">
      <c r="A15">
        <v>14</v>
      </c>
      <c r="B15" s="1">
        <v>45939.829791666663</v>
      </c>
      <c r="C15" t="s">
        <v>34</v>
      </c>
      <c r="D15">
        <v>46</v>
      </c>
      <c r="E15" t="s">
        <v>16</v>
      </c>
      <c r="F15" t="s">
        <v>23</v>
      </c>
      <c r="G15">
        <v>54</v>
      </c>
      <c r="H15">
        <v>563</v>
      </c>
      <c r="I15">
        <v>115</v>
      </c>
      <c r="J15">
        <v>24409</v>
      </c>
      <c r="K15">
        <v>6.7</v>
      </c>
      <c r="L15">
        <v>64.599999999999994</v>
      </c>
      <c r="M15" t="str" cm="1">
        <f t="array" ref="M15">_xlfn.IFS(D19&lt;=30,"Young",D19&lt;55,"Middle age",D19&gt;54,"Senior")</f>
        <v>Senior</v>
      </c>
    </row>
    <row r="16" spans="1:13" x14ac:dyDescent="0.25">
      <c r="A16">
        <v>15</v>
      </c>
      <c r="B16" s="1">
        <v>45941.804097222222</v>
      </c>
      <c r="C16" t="s">
        <v>35</v>
      </c>
      <c r="D16">
        <v>42</v>
      </c>
      <c r="E16" t="s">
        <v>22</v>
      </c>
      <c r="F16" t="s">
        <v>25</v>
      </c>
      <c r="G16">
        <v>33</v>
      </c>
      <c r="H16">
        <v>452</v>
      </c>
      <c r="I16">
        <v>85</v>
      </c>
      <c r="J16">
        <v>18362</v>
      </c>
      <c r="K16">
        <v>3.5</v>
      </c>
      <c r="L16">
        <v>37.200000000000003</v>
      </c>
      <c r="M16" t="str" cm="1">
        <f t="array" ref="M16">_xlfn.IFS(D20&lt;=30,"Young",D20&lt;55,"Middle age",D20&gt;54,"Senior")</f>
        <v>Senior</v>
      </c>
    </row>
    <row r="17" spans="1:13" x14ac:dyDescent="0.25">
      <c r="A17">
        <v>16</v>
      </c>
      <c r="B17" s="1">
        <v>45823.746458333335</v>
      </c>
      <c r="C17" t="s">
        <v>36</v>
      </c>
      <c r="D17">
        <v>39</v>
      </c>
      <c r="E17" t="s">
        <v>22</v>
      </c>
      <c r="F17" t="s">
        <v>23</v>
      </c>
      <c r="G17">
        <v>36</v>
      </c>
      <c r="H17">
        <v>345</v>
      </c>
      <c r="I17">
        <v>74</v>
      </c>
      <c r="J17">
        <v>19487</v>
      </c>
      <c r="K17">
        <v>8.4</v>
      </c>
      <c r="L17">
        <v>58</v>
      </c>
      <c r="M17" t="str" cm="1">
        <f t="array" ref="M17">_xlfn.IFS(D21&lt;=30,"Young",D21&lt;55,"Middle age",D21&gt;54,"Senior")</f>
        <v>Senior</v>
      </c>
    </row>
    <row r="18" spans="1:13" x14ac:dyDescent="0.25">
      <c r="A18">
        <v>17</v>
      </c>
      <c r="B18" s="1">
        <v>45772.974930555552</v>
      </c>
      <c r="C18" t="s">
        <v>37</v>
      </c>
      <c r="D18">
        <v>42</v>
      </c>
      <c r="E18" t="s">
        <v>13</v>
      </c>
      <c r="F18" t="s">
        <v>23</v>
      </c>
      <c r="G18">
        <v>92</v>
      </c>
      <c r="H18">
        <v>158</v>
      </c>
      <c r="I18">
        <v>160</v>
      </c>
      <c r="J18">
        <v>15425</v>
      </c>
      <c r="K18">
        <v>3.3</v>
      </c>
      <c r="L18">
        <v>55</v>
      </c>
      <c r="M18" t="str" cm="1">
        <f t="array" ref="M18">_xlfn.IFS(D22&lt;=30,"Young",D22&lt;55,"Middle age",D22&gt;54,"Senior")</f>
        <v>Middle age</v>
      </c>
    </row>
    <row r="19" spans="1:13" x14ac:dyDescent="0.25">
      <c r="A19">
        <v>18</v>
      </c>
      <c r="B19" s="1">
        <v>45780.396458333336</v>
      </c>
      <c r="C19" t="s">
        <v>38</v>
      </c>
      <c r="D19">
        <v>55</v>
      </c>
      <c r="E19" t="s">
        <v>16</v>
      </c>
      <c r="F19" t="s">
        <v>14</v>
      </c>
      <c r="G19">
        <v>11</v>
      </c>
      <c r="H19">
        <v>420</v>
      </c>
      <c r="I19">
        <v>109</v>
      </c>
      <c r="J19">
        <v>11349</v>
      </c>
      <c r="K19">
        <v>3</v>
      </c>
      <c r="L19">
        <v>62.1</v>
      </c>
      <c r="M19" t="str" cm="1">
        <f t="array" ref="M19">_xlfn.IFS(D23&lt;=30,"Young",D23&lt;55,"Middle age",D23&gt;54,"Senior")</f>
        <v>Young</v>
      </c>
    </row>
    <row r="20" spans="1:13" x14ac:dyDescent="0.25">
      <c r="A20">
        <v>19</v>
      </c>
      <c r="B20" s="1">
        <v>45774.165902777779</v>
      </c>
      <c r="C20" t="s">
        <v>39</v>
      </c>
      <c r="D20">
        <v>68</v>
      </c>
      <c r="E20" t="s">
        <v>16</v>
      </c>
      <c r="F20" t="s">
        <v>23</v>
      </c>
      <c r="G20">
        <v>119</v>
      </c>
      <c r="H20">
        <v>287</v>
      </c>
      <c r="I20">
        <v>172</v>
      </c>
      <c r="J20">
        <v>18498</v>
      </c>
      <c r="K20">
        <v>3.3</v>
      </c>
      <c r="L20">
        <v>84.4</v>
      </c>
      <c r="M20" t="str" cm="1">
        <f t="array" ref="M20">_xlfn.IFS(D24&lt;=30,"Young",D24&lt;55,"Middle age",D24&gt;54,"Senior")</f>
        <v>Middle age</v>
      </c>
    </row>
    <row r="21" spans="1:13" x14ac:dyDescent="0.25">
      <c r="A21">
        <v>20</v>
      </c>
      <c r="B21" s="1">
        <v>45942.859652777777</v>
      </c>
      <c r="C21" t="s">
        <v>39</v>
      </c>
      <c r="D21">
        <v>58</v>
      </c>
      <c r="E21" t="s">
        <v>16</v>
      </c>
      <c r="F21" t="s">
        <v>25</v>
      </c>
      <c r="G21">
        <v>12</v>
      </c>
      <c r="H21">
        <v>152</v>
      </c>
      <c r="I21">
        <v>107</v>
      </c>
      <c r="J21">
        <v>10048</v>
      </c>
      <c r="K21">
        <v>9.4</v>
      </c>
      <c r="L21">
        <v>104.6</v>
      </c>
      <c r="M21" t="str" cm="1">
        <f t="array" ref="M21">_xlfn.IFS(D25&lt;=30,"Young",D25&lt;55,"Middle age",D25&gt;54,"Senior")</f>
        <v>Middle age</v>
      </c>
    </row>
    <row r="22" spans="1:13" x14ac:dyDescent="0.25">
      <c r="A22">
        <v>21</v>
      </c>
      <c r="B22" s="1">
        <v>45797.997152777774</v>
      </c>
      <c r="C22" t="s">
        <v>40</v>
      </c>
      <c r="D22">
        <v>31</v>
      </c>
      <c r="E22" t="s">
        <v>22</v>
      </c>
      <c r="F22" t="s">
        <v>20</v>
      </c>
      <c r="G22">
        <v>6</v>
      </c>
      <c r="H22">
        <v>416</v>
      </c>
      <c r="I22">
        <v>102</v>
      </c>
      <c r="J22">
        <v>7594</v>
      </c>
      <c r="K22">
        <v>7.8</v>
      </c>
      <c r="L22">
        <v>97.6</v>
      </c>
      <c r="M22" t="str" cm="1">
        <f t="array" ref="M22">_xlfn.IFS(D26&lt;=30,"Young",D26&lt;55,"Middle age",D26&gt;54,"Senior")</f>
        <v>Senior</v>
      </c>
    </row>
    <row r="23" spans="1:13" x14ac:dyDescent="0.25">
      <c r="A23">
        <v>22</v>
      </c>
      <c r="B23" s="1">
        <v>45886.765902777777</v>
      </c>
      <c r="C23" t="s">
        <v>15</v>
      </c>
      <c r="D23">
        <v>19</v>
      </c>
      <c r="E23" t="s">
        <v>13</v>
      </c>
      <c r="F23" t="s">
        <v>41</v>
      </c>
      <c r="G23">
        <v>68</v>
      </c>
      <c r="H23">
        <v>244</v>
      </c>
      <c r="I23">
        <v>102</v>
      </c>
      <c r="J23">
        <v>21253</v>
      </c>
      <c r="K23">
        <v>6.7</v>
      </c>
      <c r="L23">
        <v>55.4</v>
      </c>
      <c r="M23" t="str" cm="1">
        <f t="array" ref="M23">_xlfn.IFS(D27&lt;=30,"Young",D27&lt;55,"Middle age",D27&gt;54,"Senior")</f>
        <v>Middle age</v>
      </c>
    </row>
    <row r="24" spans="1:13" x14ac:dyDescent="0.25">
      <c r="A24">
        <v>23</v>
      </c>
      <c r="B24" s="1">
        <v>45776.247152777774</v>
      </c>
      <c r="C24" t="s">
        <v>24</v>
      </c>
      <c r="D24">
        <v>53</v>
      </c>
      <c r="E24" t="s">
        <v>13</v>
      </c>
      <c r="F24" t="s">
        <v>25</v>
      </c>
      <c r="G24">
        <v>116</v>
      </c>
      <c r="H24">
        <v>151</v>
      </c>
      <c r="I24">
        <v>79</v>
      </c>
      <c r="J24">
        <v>23062</v>
      </c>
      <c r="K24">
        <v>5.9</v>
      </c>
      <c r="L24">
        <v>73.3</v>
      </c>
      <c r="M24" t="str" cm="1">
        <f t="array" ref="M24">_xlfn.IFS(D28&lt;=30,"Young",D28&lt;55,"Middle age",D28&gt;54,"Senior")</f>
        <v>Middle age</v>
      </c>
    </row>
    <row r="25" spans="1:13" x14ac:dyDescent="0.25">
      <c r="A25">
        <v>24</v>
      </c>
      <c r="B25" s="1">
        <v>45893.392291666663</v>
      </c>
      <c r="C25" t="s">
        <v>42</v>
      </c>
      <c r="D25">
        <v>51</v>
      </c>
      <c r="E25" t="s">
        <v>13</v>
      </c>
      <c r="F25" t="s">
        <v>17</v>
      </c>
      <c r="G25">
        <v>11</v>
      </c>
      <c r="H25">
        <v>134</v>
      </c>
      <c r="I25">
        <v>118</v>
      </c>
      <c r="J25">
        <v>15191</v>
      </c>
      <c r="K25">
        <v>7.7</v>
      </c>
      <c r="L25">
        <v>91.4</v>
      </c>
      <c r="M25" t="str" cm="1">
        <f t="array" ref="M25">_xlfn.IFS(D29&lt;=30,"Young",D29&lt;55,"Middle age",D29&gt;54,"Senior")</f>
        <v>Young</v>
      </c>
    </row>
    <row r="26" spans="1:13" x14ac:dyDescent="0.25">
      <c r="A26">
        <v>25</v>
      </c>
      <c r="B26" s="1">
        <v>45843.08048611111</v>
      </c>
      <c r="C26" t="s">
        <v>43</v>
      </c>
      <c r="D26">
        <v>69</v>
      </c>
      <c r="E26" t="s">
        <v>13</v>
      </c>
      <c r="F26" t="s">
        <v>14</v>
      </c>
      <c r="G26">
        <v>9</v>
      </c>
      <c r="H26">
        <v>108</v>
      </c>
      <c r="I26">
        <v>74</v>
      </c>
      <c r="J26">
        <v>24095</v>
      </c>
      <c r="K26">
        <v>5.8</v>
      </c>
      <c r="L26">
        <v>59.2</v>
      </c>
      <c r="M26" t="str" cm="1">
        <f t="array" ref="M26">_xlfn.IFS(D30&lt;=30,"Young",D30&lt;55,"Middle age",D30&gt;54,"Senior")</f>
        <v>Senior</v>
      </c>
    </row>
    <row r="27" spans="1:13" x14ac:dyDescent="0.25">
      <c r="A27">
        <v>26</v>
      </c>
      <c r="B27" s="1">
        <v>45844.210347222222</v>
      </c>
      <c r="C27" t="s">
        <v>15</v>
      </c>
      <c r="D27">
        <v>45</v>
      </c>
      <c r="E27" t="s">
        <v>16</v>
      </c>
      <c r="F27" t="s">
        <v>25</v>
      </c>
      <c r="G27">
        <v>44</v>
      </c>
      <c r="H27">
        <v>308</v>
      </c>
      <c r="I27">
        <v>111</v>
      </c>
      <c r="J27">
        <v>13514</v>
      </c>
      <c r="K27">
        <v>9</v>
      </c>
      <c r="L27">
        <v>70</v>
      </c>
      <c r="M27" t="str" cm="1">
        <f t="array" ref="M27">_xlfn.IFS(D31&lt;=30,"Young",D31&lt;55,"Middle age",D31&gt;54,"Senior")</f>
        <v>Middle age</v>
      </c>
    </row>
    <row r="28" spans="1:13" x14ac:dyDescent="0.25">
      <c r="A28">
        <v>27</v>
      </c>
      <c r="B28" s="1">
        <v>45873.215902777774</v>
      </c>
      <c r="C28" t="s">
        <v>21</v>
      </c>
      <c r="D28">
        <v>38</v>
      </c>
      <c r="E28" t="s">
        <v>22</v>
      </c>
      <c r="F28" t="s">
        <v>23</v>
      </c>
      <c r="G28">
        <v>12</v>
      </c>
      <c r="H28">
        <v>50</v>
      </c>
      <c r="I28">
        <v>152</v>
      </c>
      <c r="J28">
        <v>22404</v>
      </c>
      <c r="K28">
        <v>4.5</v>
      </c>
      <c r="L28">
        <v>75.7</v>
      </c>
      <c r="M28" t="str" cm="1">
        <f t="array" ref="M28">_xlfn.IFS(D32&lt;=30,"Young",D32&lt;55,"Middle age",D32&gt;54,"Senior")</f>
        <v>Young</v>
      </c>
    </row>
    <row r="29" spans="1:13" x14ac:dyDescent="0.25">
      <c r="A29">
        <v>28</v>
      </c>
      <c r="B29" s="1">
        <v>45939.880486111113</v>
      </c>
      <c r="C29" t="s">
        <v>44</v>
      </c>
      <c r="D29">
        <v>27</v>
      </c>
      <c r="E29" t="s">
        <v>22</v>
      </c>
      <c r="F29" t="s">
        <v>17</v>
      </c>
      <c r="G29">
        <v>54</v>
      </c>
      <c r="H29">
        <v>50</v>
      </c>
      <c r="I29">
        <v>128</v>
      </c>
      <c r="J29">
        <v>2971</v>
      </c>
      <c r="K29">
        <v>3.2</v>
      </c>
      <c r="L29">
        <v>81.599999999999994</v>
      </c>
      <c r="M29" t="str" cm="1">
        <f t="array" ref="M29">_xlfn.IFS(D33&lt;=30,"Young",D33&lt;55,"Middle age",D33&gt;54,"Senior")</f>
        <v>Young</v>
      </c>
    </row>
    <row r="30" spans="1:13" x14ac:dyDescent="0.25">
      <c r="A30">
        <v>29</v>
      </c>
      <c r="B30" s="1">
        <v>45774.390208333331</v>
      </c>
      <c r="C30" t="s">
        <v>45</v>
      </c>
      <c r="D30">
        <v>61</v>
      </c>
      <c r="E30" t="s">
        <v>16</v>
      </c>
      <c r="F30" t="s">
        <v>20</v>
      </c>
      <c r="G30">
        <v>90</v>
      </c>
      <c r="H30">
        <v>146</v>
      </c>
      <c r="I30">
        <v>126</v>
      </c>
      <c r="J30">
        <v>18805</v>
      </c>
      <c r="K30">
        <v>8.1999999999999993</v>
      </c>
      <c r="L30">
        <v>70.5</v>
      </c>
      <c r="M30" t="str" cm="1">
        <f t="array" ref="M30">_xlfn.IFS(D34&lt;=30,"Young",D34&lt;55,"Middle age",D34&gt;54,"Senior")</f>
        <v>Middle age</v>
      </c>
    </row>
    <row r="31" spans="1:13" x14ac:dyDescent="0.25">
      <c r="A31">
        <v>30</v>
      </c>
      <c r="B31" s="1">
        <v>45940.50340277778</v>
      </c>
      <c r="C31" t="s">
        <v>29</v>
      </c>
      <c r="D31">
        <v>37</v>
      </c>
      <c r="E31" t="s">
        <v>16</v>
      </c>
      <c r="F31" t="s">
        <v>25</v>
      </c>
      <c r="G31">
        <v>102</v>
      </c>
      <c r="H31">
        <v>354</v>
      </c>
      <c r="I31">
        <v>90</v>
      </c>
      <c r="J31">
        <v>2868</v>
      </c>
      <c r="K31">
        <v>9.1</v>
      </c>
      <c r="L31">
        <v>68.7</v>
      </c>
      <c r="M31" t="str" cm="1">
        <f t="array" ref="M31">_xlfn.IFS(D35&lt;=30,"Young",D35&lt;55,"Middle age",D35&gt;54,"Senior")</f>
        <v>Senior</v>
      </c>
    </row>
    <row r="32" spans="1:13" x14ac:dyDescent="0.25">
      <c r="A32">
        <v>31</v>
      </c>
      <c r="B32" s="1">
        <v>45885.274930555555</v>
      </c>
      <c r="C32" t="s">
        <v>46</v>
      </c>
      <c r="D32">
        <v>18</v>
      </c>
      <c r="E32" t="s">
        <v>22</v>
      </c>
      <c r="F32" t="s">
        <v>25</v>
      </c>
      <c r="G32">
        <v>18</v>
      </c>
      <c r="H32">
        <v>278</v>
      </c>
      <c r="I32">
        <v>151</v>
      </c>
      <c r="J32">
        <v>12665</v>
      </c>
      <c r="K32">
        <v>3.8</v>
      </c>
      <c r="L32">
        <v>37.6</v>
      </c>
      <c r="M32" t="str" cm="1">
        <f t="array" ref="M32">_xlfn.IFS(D36&lt;=30,"Young",D36&lt;55,"Middle age",D36&gt;54,"Senior")</f>
        <v>Senior</v>
      </c>
    </row>
    <row r="33" spans="1:13" x14ac:dyDescent="0.25">
      <c r="A33">
        <v>32</v>
      </c>
      <c r="B33" s="1">
        <v>45842.291597222225</v>
      </c>
      <c r="C33" t="s">
        <v>12</v>
      </c>
      <c r="D33">
        <v>28</v>
      </c>
      <c r="E33" t="s">
        <v>16</v>
      </c>
      <c r="F33" t="s">
        <v>27</v>
      </c>
      <c r="G33">
        <v>85</v>
      </c>
      <c r="H33">
        <v>211</v>
      </c>
      <c r="I33">
        <v>138</v>
      </c>
      <c r="J33">
        <v>17304</v>
      </c>
      <c r="K33">
        <v>8.9</v>
      </c>
      <c r="L33">
        <v>82.6</v>
      </c>
      <c r="M33" t="str" cm="1">
        <f t="array" ref="M33">_xlfn.IFS(D37&lt;=30,"Young",D37&lt;55,"Middle age",D37&gt;54,"Senior")</f>
        <v>Young</v>
      </c>
    </row>
    <row r="34" spans="1:13" x14ac:dyDescent="0.25">
      <c r="A34">
        <v>33</v>
      </c>
      <c r="B34" s="1">
        <v>45827.860347222224</v>
      </c>
      <c r="C34" t="s">
        <v>47</v>
      </c>
      <c r="D34">
        <v>42</v>
      </c>
      <c r="E34" t="s">
        <v>16</v>
      </c>
      <c r="F34" t="s">
        <v>23</v>
      </c>
      <c r="G34">
        <v>69</v>
      </c>
      <c r="H34">
        <v>368</v>
      </c>
      <c r="I34">
        <v>104</v>
      </c>
      <c r="J34">
        <v>3733</v>
      </c>
      <c r="K34">
        <v>5.4</v>
      </c>
      <c r="L34">
        <v>73.400000000000006</v>
      </c>
      <c r="M34" t="str" cm="1">
        <f t="array" ref="M34">_xlfn.IFS(D38&lt;=30,"Young",D38&lt;55,"Middle age",D38&gt;54,"Senior")</f>
        <v>Senior</v>
      </c>
    </row>
    <row r="35" spans="1:13" x14ac:dyDescent="0.25">
      <c r="A35">
        <v>34</v>
      </c>
      <c r="B35" s="1">
        <v>45779.620763888888</v>
      </c>
      <c r="C35" t="s">
        <v>48</v>
      </c>
      <c r="D35">
        <v>66</v>
      </c>
      <c r="E35" t="s">
        <v>16</v>
      </c>
      <c r="F35" t="s">
        <v>27</v>
      </c>
      <c r="G35">
        <v>92</v>
      </c>
      <c r="H35">
        <v>405</v>
      </c>
      <c r="I35">
        <v>70</v>
      </c>
      <c r="J35">
        <v>6276</v>
      </c>
      <c r="K35">
        <v>7.5</v>
      </c>
      <c r="L35">
        <v>72</v>
      </c>
      <c r="M35" t="str" cm="1">
        <f t="array" ref="M35">_xlfn.IFS(D39&lt;=30,"Young",D39&lt;55,"Middle age",D39&gt;54,"Senior")</f>
        <v>Senior</v>
      </c>
    </row>
    <row r="36" spans="1:13" x14ac:dyDescent="0.25">
      <c r="A36">
        <v>35</v>
      </c>
      <c r="B36" s="1">
        <v>45860.357569444444</v>
      </c>
      <c r="C36" t="s">
        <v>18</v>
      </c>
      <c r="D36">
        <v>66</v>
      </c>
      <c r="E36" t="s">
        <v>16</v>
      </c>
      <c r="F36" t="s">
        <v>23</v>
      </c>
      <c r="G36">
        <v>39</v>
      </c>
      <c r="H36">
        <v>205</v>
      </c>
      <c r="I36">
        <v>115</v>
      </c>
      <c r="J36">
        <v>15363</v>
      </c>
      <c r="K36">
        <v>7.2</v>
      </c>
      <c r="L36">
        <v>70.7</v>
      </c>
      <c r="M36" t="str" cm="1">
        <f t="array" ref="M36">_xlfn.IFS(D40&lt;=30,"Young",D40&lt;55,"Middle age",D40&gt;54,"Senior")</f>
        <v>Young</v>
      </c>
    </row>
    <row r="37" spans="1:13" x14ac:dyDescent="0.25">
      <c r="A37">
        <v>36</v>
      </c>
      <c r="B37" s="1">
        <v>45909.854097222225</v>
      </c>
      <c r="C37" t="s">
        <v>46</v>
      </c>
      <c r="D37">
        <v>19</v>
      </c>
      <c r="E37" t="s">
        <v>22</v>
      </c>
      <c r="F37" t="s">
        <v>27</v>
      </c>
      <c r="G37">
        <v>36</v>
      </c>
      <c r="H37">
        <v>50</v>
      </c>
      <c r="I37">
        <v>117</v>
      </c>
      <c r="J37">
        <v>13377</v>
      </c>
      <c r="K37">
        <v>8.9</v>
      </c>
      <c r="L37">
        <v>94.3</v>
      </c>
      <c r="M37" t="str" cm="1">
        <f t="array" ref="M37">_xlfn.IFS(D41&lt;=30,"Young",D41&lt;55,"Middle age",D41&gt;54,"Senior")</f>
        <v>Senior</v>
      </c>
    </row>
    <row r="38" spans="1:13" x14ac:dyDescent="0.25">
      <c r="A38">
        <v>37</v>
      </c>
      <c r="B38" s="1">
        <v>45917.812430555554</v>
      </c>
      <c r="C38" t="s">
        <v>30</v>
      </c>
      <c r="D38">
        <v>66</v>
      </c>
      <c r="E38" t="s">
        <v>16</v>
      </c>
      <c r="F38" t="s">
        <v>27</v>
      </c>
      <c r="G38">
        <v>88</v>
      </c>
      <c r="H38">
        <v>476</v>
      </c>
      <c r="I38">
        <v>163</v>
      </c>
      <c r="J38">
        <v>19495</v>
      </c>
      <c r="K38">
        <v>8.9</v>
      </c>
      <c r="L38">
        <v>78.7</v>
      </c>
      <c r="M38" t="str" cm="1">
        <f t="array" ref="M38">_xlfn.IFS(D42&lt;=30,"Young",D42&lt;55,"Middle age",D42&gt;54,"Senior")</f>
        <v>Middle age</v>
      </c>
    </row>
    <row r="39" spans="1:13" x14ac:dyDescent="0.25">
      <c r="A39">
        <v>38</v>
      </c>
      <c r="B39" s="1">
        <v>45807.227013888885</v>
      </c>
      <c r="C39" t="s">
        <v>49</v>
      </c>
      <c r="D39">
        <v>63</v>
      </c>
      <c r="E39" t="s">
        <v>22</v>
      </c>
      <c r="F39" t="s">
        <v>25</v>
      </c>
      <c r="G39">
        <v>109</v>
      </c>
      <c r="H39">
        <v>50</v>
      </c>
      <c r="I39">
        <v>179</v>
      </c>
      <c r="J39">
        <v>13263</v>
      </c>
      <c r="K39">
        <v>3.6</v>
      </c>
      <c r="L39">
        <v>71.3</v>
      </c>
      <c r="M39" t="str" cm="1">
        <f t="array" ref="M39">_xlfn.IFS(D43&lt;=30,"Young",D43&lt;55,"Middle age",D43&gt;54,"Senior")</f>
        <v>Middle age</v>
      </c>
    </row>
    <row r="40" spans="1:13" x14ac:dyDescent="0.25">
      <c r="A40">
        <v>39</v>
      </c>
      <c r="B40" s="1">
        <v>45795.522847222222</v>
      </c>
      <c r="C40" t="s">
        <v>50</v>
      </c>
      <c r="D40">
        <v>16</v>
      </c>
      <c r="E40" t="s">
        <v>22</v>
      </c>
      <c r="F40" t="s">
        <v>41</v>
      </c>
      <c r="G40">
        <v>45</v>
      </c>
      <c r="H40">
        <v>337</v>
      </c>
      <c r="I40">
        <v>63</v>
      </c>
      <c r="J40">
        <v>14571</v>
      </c>
      <c r="K40">
        <v>3.4</v>
      </c>
      <c r="L40">
        <v>56.4</v>
      </c>
      <c r="M40" t="str" cm="1">
        <f t="array" ref="M40">_xlfn.IFS(D44&lt;=30,"Young",D44&lt;55,"Middle age",D44&gt;54,"Senior")</f>
        <v>Middle age</v>
      </c>
    </row>
    <row r="41" spans="1:13" x14ac:dyDescent="0.25">
      <c r="A41">
        <v>40</v>
      </c>
      <c r="B41" s="1">
        <v>45870.695069444446</v>
      </c>
      <c r="C41" t="s">
        <v>36</v>
      </c>
      <c r="D41">
        <v>66</v>
      </c>
      <c r="E41" t="s">
        <v>13</v>
      </c>
      <c r="F41" t="s">
        <v>20</v>
      </c>
      <c r="G41">
        <v>96</v>
      </c>
      <c r="H41">
        <v>367</v>
      </c>
      <c r="I41">
        <v>170</v>
      </c>
      <c r="J41">
        <v>7481</v>
      </c>
      <c r="K41">
        <v>3.1</v>
      </c>
      <c r="L41">
        <v>66.7</v>
      </c>
      <c r="M41" t="str" cm="1">
        <f t="array" ref="M41">_xlfn.IFS(D45&lt;=30,"Young",D45&lt;55,"Middle age",D45&gt;54,"Senior")</f>
        <v>Young</v>
      </c>
    </row>
    <row r="42" spans="1:13" x14ac:dyDescent="0.25">
      <c r="A42">
        <v>41</v>
      </c>
      <c r="B42" s="1">
        <v>45905.522152777776</v>
      </c>
      <c r="C42" t="s">
        <v>51</v>
      </c>
      <c r="D42">
        <v>49</v>
      </c>
      <c r="E42" t="s">
        <v>22</v>
      </c>
      <c r="F42" t="s">
        <v>25</v>
      </c>
      <c r="G42">
        <v>51</v>
      </c>
      <c r="H42">
        <v>208</v>
      </c>
      <c r="I42">
        <v>83</v>
      </c>
      <c r="J42">
        <v>14060</v>
      </c>
      <c r="K42">
        <v>8.1</v>
      </c>
      <c r="L42">
        <v>92.9</v>
      </c>
      <c r="M42" t="str" cm="1">
        <f t="array" ref="M42">_xlfn.IFS(D46&lt;=30,"Young",D46&lt;55,"Middle age",D46&gt;54,"Senior")</f>
        <v>Middle age</v>
      </c>
    </row>
    <row r="43" spans="1:13" x14ac:dyDescent="0.25">
      <c r="A43">
        <v>42</v>
      </c>
      <c r="B43" s="1">
        <v>45872.189513888887</v>
      </c>
      <c r="C43" t="s">
        <v>44</v>
      </c>
      <c r="D43">
        <v>52</v>
      </c>
      <c r="E43" t="s">
        <v>16</v>
      </c>
      <c r="F43" t="s">
        <v>23</v>
      </c>
      <c r="G43">
        <v>98</v>
      </c>
      <c r="H43">
        <v>432</v>
      </c>
      <c r="I43">
        <v>165</v>
      </c>
      <c r="J43">
        <v>14201</v>
      </c>
      <c r="K43">
        <v>8.1</v>
      </c>
      <c r="L43">
        <v>63</v>
      </c>
      <c r="M43" t="str" cm="1">
        <f t="array" ref="M43">_xlfn.IFS(D47&lt;=30,"Young",D47&lt;55,"Middle age",D47&gt;54,"Senior")</f>
        <v>Senior</v>
      </c>
    </row>
    <row r="44" spans="1:13" x14ac:dyDescent="0.25">
      <c r="A44">
        <v>43</v>
      </c>
      <c r="B44" s="1">
        <v>45838.070763888885</v>
      </c>
      <c r="C44" t="s">
        <v>52</v>
      </c>
      <c r="D44">
        <v>32</v>
      </c>
      <c r="E44" t="s">
        <v>13</v>
      </c>
      <c r="F44" t="s">
        <v>17</v>
      </c>
      <c r="G44">
        <v>40</v>
      </c>
      <c r="H44">
        <v>392</v>
      </c>
      <c r="I44">
        <v>94</v>
      </c>
      <c r="J44">
        <v>9614</v>
      </c>
      <c r="K44">
        <v>9.1</v>
      </c>
      <c r="L44">
        <v>46.1</v>
      </c>
      <c r="M44" t="str" cm="1">
        <f t="array" ref="M44">_xlfn.IFS(D48&lt;=30,"Young",D48&lt;55,"Middle age",D48&gt;54,"Senior")</f>
        <v>Senior</v>
      </c>
    </row>
    <row r="45" spans="1:13" x14ac:dyDescent="0.25">
      <c r="A45">
        <v>44</v>
      </c>
      <c r="B45" s="1">
        <v>45941.709652777776</v>
      </c>
      <c r="C45" t="s">
        <v>52</v>
      </c>
      <c r="D45">
        <v>20</v>
      </c>
      <c r="E45" t="s">
        <v>22</v>
      </c>
      <c r="F45" t="s">
        <v>25</v>
      </c>
      <c r="G45">
        <v>95</v>
      </c>
      <c r="H45">
        <v>460</v>
      </c>
      <c r="I45">
        <v>77</v>
      </c>
      <c r="J45">
        <v>12186</v>
      </c>
      <c r="K45">
        <v>8.5</v>
      </c>
      <c r="L45">
        <v>68.099999999999994</v>
      </c>
      <c r="M45" t="str" cm="1">
        <f t="array" ref="M45">_xlfn.IFS(D49&lt;=30,"Young",D49&lt;55,"Middle age",D49&gt;54,"Senior")</f>
        <v>Middle age</v>
      </c>
    </row>
    <row r="46" spans="1:13" x14ac:dyDescent="0.25">
      <c r="A46">
        <v>45</v>
      </c>
      <c r="B46" s="1">
        <v>45938.391597222224</v>
      </c>
      <c r="C46" t="s">
        <v>51</v>
      </c>
      <c r="D46">
        <v>36</v>
      </c>
      <c r="E46" t="s">
        <v>13</v>
      </c>
      <c r="F46" t="s">
        <v>27</v>
      </c>
      <c r="G46">
        <v>79</v>
      </c>
      <c r="H46">
        <v>530</v>
      </c>
      <c r="I46">
        <v>127</v>
      </c>
      <c r="J46">
        <v>5597</v>
      </c>
      <c r="K46">
        <v>6.8</v>
      </c>
      <c r="L46">
        <v>77.3</v>
      </c>
      <c r="M46" t="str" cm="1">
        <f t="array" ref="M46">_xlfn.IFS(D50&lt;=30,"Young",D50&lt;55,"Middle age",D50&gt;54,"Senior")</f>
        <v>Young</v>
      </c>
    </row>
    <row r="47" spans="1:13" x14ac:dyDescent="0.25">
      <c r="A47">
        <v>46</v>
      </c>
      <c r="B47" s="1">
        <v>45831.499236111114</v>
      </c>
      <c r="C47" t="s">
        <v>53</v>
      </c>
      <c r="D47">
        <v>56</v>
      </c>
      <c r="E47" t="s">
        <v>16</v>
      </c>
      <c r="F47" t="s">
        <v>41</v>
      </c>
      <c r="G47">
        <v>34</v>
      </c>
      <c r="H47">
        <v>269</v>
      </c>
      <c r="I47">
        <v>140</v>
      </c>
      <c r="J47">
        <v>12383</v>
      </c>
      <c r="K47">
        <v>6.8</v>
      </c>
      <c r="L47">
        <v>51.7</v>
      </c>
      <c r="M47" t="str" cm="1">
        <f t="array" ref="M47">_xlfn.IFS(D51&lt;=30,"Young",D51&lt;55,"Middle age",D51&gt;54,"Senior")</f>
        <v>Middle age</v>
      </c>
    </row>
    <row r="48" spans="1:13" x14ac:dyDescent="0.25">
      <c r="A48">
        <v>47</v>
      </c>
      <c r="B48" s="1">
        <v>45835.917291666665</v>
      </c>
      <c r="C48" t="s">
        <v>54</v>
      </c>
      <c r="D48">
        <v>62</v>
      </c>
      <c r="E48" t="s">
        <v>13</v>
      </c>
      <c r="F48" t="s">
        <v>20</v>
      </c>
      <c r="G48">
        <v>67</v>
      </c>
      <c r="H48">
        <v>230</v>
      </c>
      <c r="I48">
        <v>93</v>
      </c>
      <c r="J48">
        <v>24968</v>
      </c>
      <c r="K48">
        <v>4.8</v>
      </c>
      <c r="L48">
        <v>66.599999999999994</v>
      </c>
      <c r="M48" t="str" cm="1">
        <f t="array" ref="M48">_xlfn.IFS(D52&lt;=30,"Young",D52&lt;55,"Middle age",D52&gt;54,"Senior")</f>
        <v>Young</v>
      </c>
    </row>
    <row r="49" spans="1:13" x14ac:dyDescent="0.25">
      <c r="A49">
        <v>48</v>
      </c>
      <c r="B49" s="1">
        <v>45900.766597222224</v>
      </c>
      <c r="C49" t="s">
        <v>55</v>
      </c>
      <c r="D49">
        <v>46</v>
      </c>
      <c r="E49" t="s">
        <v>13</v>
      </c>
      <c r="F49" t="s">
        <v>14</v>
      </c>
      <c r="G49">
        <v>24</v>
      </c>
      <c r="H49">
        <v>330</v>
      </c>
      <c r="I49">
        <v>134</v>
      </c>
      <c r="J49">
        <v>14863</v>
      </c>
      <c r="K49">
        <v>3.9</v>
      </c>
      <c r="L49">
        <v>85</v>
      </c>
      <c r="M49" t="str" cm="1">
        <f t="array" ref="M49">_xlfn.IFS(D53&lt;=30,"Young",D53&lt;55,"Middle age",D53&gt;54,"Senior")</f>
        <v>Senior</v>
      </c>
    </row>
    <row r="50" spans="1:13" x14ac:dyDescent="0.25">
      <c r="A50">
        <v>49</v>
      </c>
      <c r="B50" s="1">
        <v>45838.259652777779</v>
      </c>
      <c r="C50" t="s">
        <v>31</v>
      </c>
      <c r="D50">
        <v>17</v>
      </c>
      <c r="E50" t="s">
        <v>13</v>
      </c>
      <c r="F50" t="s">
        <v>41</v>
      </c>
      <c r="G50">
        <v>21</v>
      </c>
      <c r="H50">
        <v>545</v>
      </c>
      <c r="I50">
        <v>173</v>
      </c>
      <c r="J50">
        <v>5906</v>
      </c>
      <c r="K50">
        <v>5.2</v>
      </c>
      <c r="L50">
        <v>76.400000000000006</v>
      </c>
      <c r="M50" t="str" cm="1">
        <f t="array" ref="M50">_xlfn.IFS(D54&lt;=30,"Young",D54&lt;55,"Middle age",D54&gt;54,"Senior")</f>
        <v>Senior</v>
      </c>
    </row>
    <row r="51" spans="1:13" x14ac:dyDescent="0.25">
      <c r="A51">
        <v>50</v>
      </c>
      <c r="B51" s="1">
        <v>45891.527013888888</v>
      </c>
      <c r="C51" t="s">
        <v>49</v>
      </c>
      <c r="D51">
        <v>49</v>
      </c>
      <c r="E51" t="s">
        <v>13</v>
      </c>
      <c r="F51" t="s">
        <v>20</v>
      </c>
      <c r="G51">
        <v>62</v>
      </c>
      <c r="H51">
        <v>322</v>
      </c>
      <c r="I51">
        <v>121</v>
      </c>
      <c r="J51">
        <v>19652</v>
      </c>
      <c r="K51">
        <v>9.4</v>
      </c>
      <c r="L51">
        <v>61.7</v>
      </c>
      <c r="M51" t="str" cm="1">
        <f t="array" ref="M51">_xlfn.IFS(D55&lt;=30,"Young",D55&lt;55,"Middle age",D55&gt;54,"Senior")</f>
        <v>Middle age</v>
      </c>
    </row>
    <row r="52" spans="1:13" x14ac:dyDescent="0.25">
      <c r="A52">
        <v>51</v>
      </c>
      <c r="B52" s="1">
        <v>45824.706180555557</v>
      </c>
      <c r="C52" t="s">
        <v>56</v>
      </c>
      <c r="D52">
        <v>27</v>
      </c>
      <c r="E52" t="s">
        <v>22</v>
      </c>
      <c r="F52" t="s">
        <v>20</v>
      </c>
      <c r="G52">
        <v>105</v>
      </c>
      <c r="H52">
        <v>389</v>
      </c>
      <c r="I52">
        <v>68</v>
      </c>
      <c r="J52">
        <v>17788</v>
      </c>
      <c r="K52">
        <v>3.7</v>
      </c>
      <c r="L52">
        <v>84.5</v>
      </c>
      <c r="M52" t="str" cm="1">
        <f t="array" ref="M52">_xlfn.IFS(D56&lt;=30,"Young",D56&lt;55,"Middle age",D56&gt;54,"Senior")</f>
        <v>Middle age</v>
      </c>
    </row>
    <row r="53" spans="1:13" x14ac:dyDescent="0.25">
      <c r="A53">
        <v>52</v>
      </c>
      <c r="B53" s="1">
        <v>45912.406180555554</v>
      </c>
      <c r="C53" t="s">
        <v>28</v>
      </c>
      <c r="D53">
        <v>66</v>
      </c>
      <c r="E53" t="s">
        <v>13</v>
      </c>
      <c r="F53" t="s">
        <v>25</v>
      </c>
      <c r="G53">
        <v>71</v>
      </c>
      <c r="H53">
        <v>394</v>
      </c>
      <c r="I53">
        <v>131</v>
      </c>
      <c r="J53">
        <v>10145</v>
      </c>
      <c r="K53">
        <v>5.7</v>
      </c>
      <c r="L53">
        <v>41.5</v>
      </c>
      <c r="M53" t="str" cm="1">
        <f t="array" ref="M53">_xlfn.IFS(D57&lt;=30,"Young",D57&lt;55,"Middle age",D57&gt;54,"Senior")</f>
        <v>Senior</v>
      </c>
    </row>
    <row r="54" spans="1:13" x14ac:dyDescent="0.25">
      <c r="A54">
        <v>53</v>
      </c>
      <c r="B54" s="1">
        <v>45883.117291666669</v>
      </c>
      <c r="C54" t="s">
        <v>18</v>
      </c>
      <c r="D54">
        <v>64</v>
      </c>
      <c r="E54" t="s">
        <v>13</v>
      </c>
      <c r="F54" t="s">
        <v>41</v>
      </c>
      <c r="G54">
        <v>45</v>
      </c>
      <c r="H54">
        <v>84</v>
      </c>
      <c r="I54">
        <v>108</v>
      </c>
      <c r="J54">
        <v>8434</v>
      </c>
      <c r="K54">
        <v>4.5999999999999996</v>
      </c>
      <c r="L54">
        <v>77.3</v>
      </c>
      <c r="M54" t="str" cm="1">
        <f t="array" ref="M54">_xlfn.IFS(D58&lt;=30,"Young",D58&lt;55,"Middle age",D58&gt;54,"Senior")</f>
        <v>Middle age</v>
      </c>
    </row>
    <row r="55" spans="1:13" x14ac:dyDescent="0.25">
      <c r="A55">
        <v>54</v>
      </c>
      <c r="B55" s="1">
        <v>45898.139513888891</v>
      </c>
      <c r="C55" t="s">
        <v>49</v>
      </c>
      <c r="D55">
        <v>40</v>
      </c>
      <c r="E55" t="s">
        <v>16</v>
      </c>
      <c r="F55" t="s">
        <v>23</v>
      </c>
      <c r="G55">
        <v>38</v>
      </c>
      <c r="H55">
        <v>401</v>
      </c>
      <c r="I55">
        <v>167</v>
      </c>
      <c r="J55">
        <v>6688</v>
      </c>
      <c r="K55">
        <v>5.8</v>
      </c>
      <c r="L55">
        <v>65.900000000000006</v>
      </c>
      <c r="M55" t="str" cm="1">
        <f t="array" ref="M55">_xlfn.IFS(D59&lt;=30,"Young",D59&lt;55,"Middle age",D59&gt;54,"Senior")</f>
        <v>Middle age</v>
      </c>
    </row>
    <row r="56" spans="1:13" x14ac:dyDescent="0.25">
      <c r="A56">
        <v>55</v>
      </c>
      <c r="B56" s="1">
        <v>45937.780486111114</v>
      </c>
      <c r="C56" t="s">
        <v>57</v>
      </c>
      <c r="D56">
        <v>42</v>
      </c>
      <c r="E56" t="s">
        <v>22</v>
      </c>
      <c r="F56" t="s">
        <v>20</v>
      </c>
      <c r="G56">
        <v>119</v>
      </c>
      <c r="H56">
        <v>390</v>
      </c>
      <c r="I56">
        <v>145</v>
      </c>
      <c r="J56">
        <v>18641</v>
      </c>
      <c r="K56">
        <v>8.6999999999999993</v>
      </c>
      <c r="L56">
        <v>85.3</v>
      </c>
      <c r="M56" t="str" cm="1">
        <f t="array" ref="M56">_xlfn.IFS(D60&lt;=30,"Young",D60&lt;55,"Middle age",D60&gt;54,"Senior")</f>
        <v>Middle age</v>
      </c>
    </row>
    <row r="57" spans="1:13" x14ac:dyDescent="0.25">
      <c r="A57">
        <v>56</v>
      </c>
      <c r="B57" s="1">
        <v>45934.716597222221</v>
      </c>
      <c r="C57" t="s">
        <v>33</v>
      </c>
      <c r="D57">
        <v>60</v>
      </c>
      <c r="E57" t="s">
        <v>13</v>
      </c>
      <c r="F57" t="s">
        <v>17</v>
      </c>
      <c r="G57">
        <v>29</v>
      </c>
      <c r="H57">
        <v>504</v>
      </c>
      <c r="I57">
        <v>100</v>
      </c>
      <c r="J57">
        <v>20785</v>
      </c>
      <c r="K57">
        <v>3</v>
      </c>
      <c r="L57">
        <v>74.7</v>
      </c>
      <c r="M57" t="str" cm="1">
        <f t="array" ref="M57">_xlfn.IFS(D61&lt;=30,"Young",D61&lt;55,"Middle age",D61&gt;54,"Senior")</f>
        <v>Middle age</v>
      </c>
    </row>
    <row r="58" spans="1:13" x14ac:dyDescent="0.25">
      <c r="A58">
        <v>57</v>
      </c>
      <c r="B58" s="1">
        <v>45900.227013888885</v>
      </c>
      <c r="C58" t="s">
        <v>38</v>
      </c>
      <c r="D58">
        <v>37</v>
      </c>
      <c r="E58" t="s">
        <v>13</v>
      </c>
      <c r="F58" t="s">
        <v>41</v>
      </c>
      <c r="G58">
        <v>50</v>
      </c>
      <c r="H58">
        <v>461</v>
      </c>
      <c r="I58">
        <v>61</v>
      </c>
      <c r="J58">
        <v>14982</v>
      </c>
      <c r="K58">
        <v>5.8</v>
      </c>
      <c r="L58">
        <v>105.2</v>
      </c>
      <c r="M58" t="str" cm="1">
        <f t="array" ref="M58">_xlfn.IFS(D62&lt;=30,"Young",D62&lt;55,"Middle age",D62&gt;54,"Senior")</f>
        <v>Middle age</v>
      </c>
    </row>
    <row r="59" spans="1:13" x14ac:dyDescent="0.25">
      <c r="A59">
        <v>58</v>
      </c>
      <c r="B59" s="1">
        <v>45807.757569444446</v>
      </c>
      <c r="C59" t="s">
        <v>30</v>
      </c>
      <c r="D59">
        <v>43</v>
      </c>
      <c r="E59" t="s">
        <v>22</v>
      </c>
      <c r="F59" t="s">
        <v>14</v>
      </c>
      <c r="G59">
        <v>41</v>
      </c>
      <c r="H59">
        <v>306</v>
      </c>
      <c r="I59">
        <v>85</v>
      </c>
      <c r="J59">
        <v>23231</v>
      </c>
      <c r="K59">
        <v>8.8000000000000007</v>
      </c>
      <c r="L59">
        <v>83.5</v>
      </c>
      <c r="M59" t="str" cm="1">
        <f t="array" ref="M59">_xlfn.IFS(D63&lt;=30,"Young",D63&lt;55,"Middle age",D63&gt;54,"Senior")</f>
        <v>Middle age</v>
      </c>
    </row>
    <row r="60" spans="1:13" x14ac:dyDescent="0.25">
      <c r="A60">
        <v>59</v>
      </c>
      <c r="B60" s="1">
        <v>45862.094375000001</v>
      </c>
      <c r="C60" t="s">
        <v>24</v>
      </c>
      <c r="D60">
        <v>42</v>
      </c>
      <c r="E60" t="s">
        <v>16</v>
      </c>
      <c r="F60" t="s">
        <v>23</v>
      </c>
      <c r="G60">
        <v>68</v>
      </c>
      <c r="H60">
        <v>406</v>
      </c>
      <c r="I60">
        <v>61</v>
      </c>
      <c r="J60">
        <v>1267</v>
      </c>
      <c r="K60">
        <v>4.0999999999999996</v>
      </c>
      <c r="L60">
        <v>42.7</v>
      </c>
      <c r="M60" t="str" cm="1">
        <f t="array" ref="M60">_xlfn.IFS(D64&lt;=30,"Young",D64&lt;55,"Middle age",D64&gt;54,"Senior")</f>
        <v>Middle age</v>
      </c>
    </row>
    <row r="61" spans="1:13" x14ac:dyDescent="0.25">
      <c r="A61">
        <v>60</v>
      </c>
      <c r="B61" s="1">
        <v>45943.263124999998</v>
      </c>
      <c r="C61" t="s">
        <v>12</v>
      </c>
      <c r="D61">
        <v>50</v>
      </c>
      <c r="E61" t="s">
        <v>16</v>
      </c>
      <c r="F61" t="s">
        <v>17</v>
      </c>
      <c r="G61">
        <v>69</v>
      </c>
      <c r="H61">
        <v>366</v>
      </c>
      <c r="I61">
        <v>157</v>
      </c>
      <c r="J61">
        <v>17523</v>
      </c>
      <c r="K61">
        <v>9</v>
      </c>
      <c r="L61">
        <v>83.2</v>
      </c>
      <c r="M61" t="str" cm="1">
        <f t="array" ref="M61">_xlfn.IFS(D65&lt;=30,"Young",D65&lt;55,"Middle age",D65&gt;54,"Senior")</f>
        <v>Middle age</v>
      </c>
    </row>
    <row r="62" spans="1:13" x14ac:dyDescent="0.25">
      <c r="A62">
        <v>61</v>
      </c>
      <c r="B62" s="1">
        <v>45795.167986111112</v>
      </c>
      <c r="C62" t="s">
        <v>43</v>
      </c>
      <c r="D62">
        <v>54</v>
      </c>
      <c r="E62" t="s">
        <v>13</v>
      </c>
      <c r="F62" t="s">
        <v>41</v>
      </c>
      <c r="G62">
        <v>42</v>
      </c>
      <c r="H62">
        <v>225</v>
      </c>
      <c r="I62">
        <v>138</v>
      </c>
      <c r="J62">
        <v>18315</v>
      </c>
      <c r="K62">
        <v>7.6</v>
      </c>
      <c r="L62">
        <v>78.900000000000006</v>
      </c>
      <c r="M62" t="str" cm="1">
        <f t="array" ref="M62">_xlfn.IFS(D66&lt;=30,"Young",D66&lt;55,"Middle age",D66&gt;54,"Senior")</f>
        <v>Young</v>
      </c>
    </row>
    <row r="63" spans="1:13" x14ac:dyDescent="0.25">
      <c r="A63">
        <v>62</v>
      </c>
      <c r="B63" s="1">
        <v>45871.308263888888</v>
      </c>
      <c r="C63" t="s">
        <v>33</v>
      </c>
      <c r="D63">
        <v>43</v>
      </c>
      <c r="E63" t="s">
        <v>16</v>
      </c>
      <c r="F63" t="s">
        <v>20</v>
      </c>
      <c r="G63">
        <v>102</v>
      </c>
      <c r="H63">
        <v>289</v>
      </c>
      <c r="I63">
        <v>121</v>
      </c>
      <c r="J63">
        <v>14515</v>
      </c>
      <c r="K63">
        <v>3.3</v>
      </c>
      <c r="L63">
        <v>64.5</v>
      </c>
      <c r="M63" t="str" cm="1">
        <f t="array" ref="M63">_xlfn.IFS(D67&lt;=30,"Young",D67&lt;55,"Middle age",D67&gt;54,"Senior")</f>
        <v>Senior</v>
      </c>
    </row>
    <row r="64" spans="1:13" x14ac:dyDescent="0.25">
      <c r="A64">
        <v>63</v>
      </c>
      <c r="B64" s="1">
        <v>45909.262430555558</v>
      </c>
      <c r="C64" t="s">
        <v>58</v>
      </c>
      <c r="D64">
        <v>42</v>
      </c>
      <c r="E64" t="s">
        <v>13</v>
      </c>
      <c r="F64" t="s">
        <v>27</v>
      </c>
      <c r="G64">
        <v>78</v>
      </c>
      <c r="H64">
        <v>194</v>
      </c>
      <c r="I64">
        <v>88</v>
      </c>
      <c r="J64">
        <v>1872</v>
      </c>
      <c r="K64">
        <v>3.2</v>
      </c>
      <c r="L64">
        <v>77.599999999999994</v>
      </c>
      <c r="M64" t="str" cm="1">
        <f t="array" ref="M64">_xlfn.IFS(D68&lt;=30,"Young",D68&lt;55,"Middle age",D68&gt;54,"Senior")</f>
        <v>Senior</v>
      </c>
    </row>
    <row r="65" spans="1:13" x14ac:dyDescent="0.25">
      <c r="A65">
        <v>64</v>
      </c>
      <c r="B65" s="1">
        <v>45848.182569444441</v>
      </c>
      <c r="C65" t="s">
        <v>55</v>
      </c>
      <c r="D65">
        <v>54</v>
      </c>
      <c r="E65" t="s">
        <v>16</v>
      </c>
      <c r="F65" t="s">
        <v>17</v>
      </c>
      <c r="G65">
        <v>66</v>
      </c>
      <c r="H65">
        <v>387</v>
      </c>
      <c r="I65">
        <v>89</v>
      </c>
      <c r="J65">
        <v>12521</v>
      </c>
      <c r="K65">
        <v>6.5</v>
      </c>
      <c r="L65">
        <v>58</v>
      </c>
      <c r="M65" t="str" cm="1">
        <f t="array" ref="M65">_xlfn.IFS(D69&lt;=30,"Young",D69&lt;55,"Middle age",D69&gt;54,"Senior")</f>
        <v>Senior</v>
      </c>
    </row>
    <row r="66" spans="1:13" x14ac:dyDescent="0.25">
      <c r="A66">
        <v>65</v>
      </c>
      <c r="B66" s="1">
        <v>45815.086736111109</v>
      </c>
      <c r="C66" t="s">
        <v>32</v>
      </c>
      <c r="D66">
        <v>20</v>
      </c>
      <c r="E66" t="s">
        <v>13</v>
      </c>
      <c r="F66" t="s">
        <v>14</v>
      </c>
      <c r="G66">
        <v>29</v>
      </c>
      <c r="H66">
        <v>226</v>
      </c>
      <c r="I66">
        <v>85</v>
      </c>
      <c r="J66">
        <v>6060</v>
      </c>
      <c r="K66">
        <v>6.8</v>
      </c>
      <c r="L66">
        <v>68.5</v>
      </c>
      <c r="M66" t="str" cm="1">
        <f t="array" ref="M66">_xlfn.IFS(D70&lt;=30,"Young",D70&lt;55,"Middle age",D70&gt;54,"Senior")</f>
        <v>Middle age</v>
      </c>
    </row>
    <row r="67" spans="1:13" x14ac:dyDescent="0.25">
      <c r="A67">
        <v>66</v>
      </c>
      <c r="B67" s="1">
        <v>45824.64298611111</v>
      </c>
      <c r="C67" t="s">
        <v>26</v>
      </c>
      <c r="D67">
        <v>60</v>
      </c>
      <c r="E67" t="s">
        <v>16</v>
      </c>
      <c r="F67" t="s">
        <v>41</v>
      </c>
      <c r="G67">
        <v>119</v>
      </c>
      <c r="H67">
        <v>353</v>
      </c>
      <c r="I67">
        <v>165</v>
      </c>
      <c r="J67">
        <v>1281</v>
      </c>
      <c r="K67">
        <v>9.4</v>
      </c>
      <c r="L67">
        <v>78.8</v>
      </c>
      <c r="M67" t="str" cm="1">
        <f t="array" ref="M67">_xlfn.IFS(D71&lt;=30,"Young",D71&lt;55,"Middle age",D71&gt;54,"Senior")</f>
        <v>Middle age</v>
      </c>
    </row>
    <row r="68" spans="1:13" x14ac:dyDescent="0.25">
      <c r="A68">
        <v>67</v>
      </c>
      <c r="B68" s="1">
        <v>45814.515208333331</v>
      </c>
      <c r="C68" t="s">
        <v>19</v>
      </c>
      <c r="D68">
        <v>68</v>
      </c>
      <c r="E68" t="s">
        <v>13</v>
      </c>
      <c r="F68" t="s">
        <v>23</v>
      </c>
      <c r="G68">
        <v>81</v>
      </c>
      <c r="H68">
        <v>426</v>
      </c>
      <c r="I68">
        <v>159</v>
      </c>
      <c r="J68">
        <v>370</v>
      </c>
      <c r="K68">
        <v>5.0999999999999996</v>
      </c>
      <c r="L68">
        <v>87.5</v>
      </c>
      <c r="M68" t="str" cm="1">
        <f t="array" ref="M68">_xlfn.IFS(D72&lt;=30,"Young",D72&lt;55,"Middle age",D72&gt;54,"Senior")</f>
        <v>Middle age</v>
      </c>
    </row>
    <row r="69" spans="1:13" x14ac:dyDescent="0.25">
      <c r="A69">
        <v>68</v>
      </c>
      <c r="B69" s="1">
        <v>45819.072152777779</v>
      </c>
      <c r="C69" t="s">
        <v>59</v>
      </c>
      <c r="D69">
        <v>63</v>
      </c>
      <c r="E69" t="s">
        <v>22</v>
      </c>
      <c r="F69" t="s">
        <v>14</v>
      </c>
      <c r="G69">
        <v>38</v>
      </c>
      <c r="H69">
        <v>120</v>
      </c>
      <c r="I69">
        <v>76</v>
      </c>
      <c r="J69">
        <v>16779</v>
      </c>
      <c r="K69">
        <v>8.5</v>
      </c>
      <c r="L69">
        <v>80.400000000000006</v>
      </c>
      <c r="M69" t="str" cm="1">
        <f t="array" ref="M69">_xlfn.IFS(D73&lt;=30,"Young",D73&lt;55,"Middle age",D73&gt;54,"Senior")</f>
        <v>Senior</v>
      </c>
    </row>
    <row r="70" spans="1:13" x14ac:dyDescent="0.25">
      <c r="A70">
        <v>69</v>
      </c>
      <c r="B70" s="1">
        <v>45821.740208333336</v>
      </c>
      <c r="C70" t="s">
        <v>54</v>
      </c>
      <c r="D70">
        <v>36</v>
      </c>
      <c r="E70" t="s">
        <v>16</v>
      </c>
      <c r="F70" t="s">
        <v>41</v>
      </c>
      <c r="G70">
        <v>117</v>
      </c>
      <c r="H70">
        <v>389</v>
      </c>
      <c r="I70">
        <v>142</v>
      </c>
      <c r="J70">
        <v>721</v>
      </c>
      <c r="K70">
        <v>6.5</v>
      </c>
      <c r="L70">
        <v>75.099999999999994</v>
      </c>
      <c r="M70" t="str" cm="1">
        <f t="array" ref="M70">_xlfn.IFS(D74&lt;=30,"Young",D74&lt;55,"Middle age",D74&gt;54,"Senior")</f>
        <v>Senior</v>
      </c>
    </row>
    <row r="71" spans="1:13" x14ac:dyDescent="0.25">
      <c r="A71">
        <v>70</v>
      </c>
      <c r="B71" s="1">
        <v>45931.210347222222</v>
      </c>
      <c r="C71" t="s">
        <v>55</v>
      </c>
      <c r="D71">
        <v>51</v>
      </c>
      <c r="E71" t="s">
        <v>16</v>
      </c>
      <c r="F71" t="s">
        <v>25</v>
      </c>
      <c r="G71">
        <v>13</v>
      </c>
      <c r="H71">
        <v>192</v>
      </c>
      <c r="I71">
        <v>62</v>
      </c>
      <c r="J71">
        <v>15423</v>
      </c>
      <c r="K71">
        <v>3.3</v>
      </c>
      <c r="L71">
        <v>102.3</v>
      </c>
      <c r="M71" t="str" cm="1">
        <f t="array" ref="M71">_xlfn.IFS(D75&lt;=30,"Young",D75&lt;55,"Middle age",D75&gt;54,"Senior")</f>
        <v>Middle age</v>
      </c>
    </row>
    <row r="72" spans="1:13" x14ac:dyDescent="0.25">
      <c r="A72">
        <v>71</v>
      </c>
      <c r="B72" s="1">
        <v>45924.36451388889</v>
      </c>
      <c r="C72" t="s">
        <v>15</v>
      </c>
      <c r="D72">
        <v>32</v>
      </c>
      <c r="E72" t="s">
        <v>22</v>
      </c>
      <c r="F72" t="s">
        <v>17</v>
      </c>
      <c r="G72">
        <v>83</v>
      </c>
      <c r="H72">
        <v>330</v>
      </c>
      <c r="I72">
        <v>168</v>
      </c>
      <c r="J72">
        <v>8432</v>
      </c>
      <c r="K72">
        <v>6.3</v>
      </c>
      <c r="L72">
        <v>53.7</v>
      </c>
      <c r="M72" t="str" cm="1">
        <f t="array" ref="M72">_xlfn.IFS(D76&lt;=30,"Young",D76&lt;55,"Middle age",D76&gt;54,"Senior")</f>
        <v>Middle age</v>
      </c>
    </row>
    <row r="73" spans="1:13" x14ac:dyDescent="0.25">
      <c r="A73">
        <v>72</v>
      </c>
      <c r="B73" s="1">
        <v>45813.388124999998</v>
      </c>
      <c r="C73" t="s">
        <v>33</v>
      </c>
      <c r="D73">
        <v>60</v>
      </c>
      <c r="E73" t="s">
        <v>16</v>
      </c>
      <c r="F73" t="s">
        <v>20</v>
      </c>
      <c r="G73">
        <v>116</v>
      </c>
      <c r="H73">
        <v>433</v>
      </c>
      <c r="I73">
        <v>95</v>
      </c>
      <c r="J73">
        <v>16232</v>
      </c>
      <c r="K73">
        <v>6.8</v>
      </c>
      <c r="L73">
        <v>78.099999999999994</v>
      </c>
      <c r="M73" t="str" cm="1">
        <f t="array" ref="M73">_xlfn.IFS(D77&lt;=30,"Young",D77&lt;55,"Middle age",D77&gt;54,"Senior")</f>
        <v>Middle age</v>
      </c>
    </row>
    <row r="74" spans="1:13" x14ac:dyDescent="0.25">
      <c r="A74">
        <v>73</v>
      </c>
      <c r="B74" s="1">
        <v>45934.012430555558</v>
      </c>
      <c r="C74" t="s">
        <v>60</v>
      </c>
      <c r="D74">
        <v>60</v>
      </c>
      <c r="E74" t="s">
        <v>13</v>
      </c>
      <c r="F74" t="s">
        <v>20</v>
      </c>
      <c r="G74">
        <v>73</v>
      </c>
      <c r="H74">
        <v>224</v>
      </c>
      <c r="I74">
        <v>128</v>
      </c>
      <c r="J74">
        <v>22440</v>
      </c>
      <c r="K74">
        <v>3.6</v>
      </c>
      <c r="L74">
        <v>54.8</v>
      </c>
      <c r="M74" t="str" cm="1">
        <f t="array" ref="M74">_xlfn.IFS(D78&lt;=30,"Young",D78&lt;55,"Middle age",D78&gt;54,"Senior")</f>
        <v>Middle age</v>
      </c>
    </row>
    <row r="75" spans="1:13" x14ac:dyDescent="0.25">
      <c r="A75">
        <v>74</v>
      </c>
      <c r="B75" s="1">
        <v>45807.966597222221</v>
      </c>
      <c r="C75" t="s">
        <v>52</v>
      </c>
      <c r="D75">
        <v>37</v>
      </c>
      <c r="E75" t="s">
        <v>16</v>
      </c>
      <c r="F75" t="s">
        <v>20</v>
      </c>
      <c r="G75">
        <v>112</v>
      </c>
      <c r="H75">
        <v>188</v>
      </c>
      <c r="I75">
        <v>102</v>
      </c>
      <c r="J75">
        <v>20883</v>
      </c>
      <c r="K75">
        <v>4.8</v>
      </c>
      <c r="L75">
        <v>82.7</v>
      </c>
      <c r="M75" t="str" cm="1">
        <f t="array" ref="M75">_xlfn.IFS(D79&lt;=30,"Young",D79&lt;55,"Middle age",D79&gt;54,"Senior")</f>
        <v>Middle age</v>
      </c>
    </row>
    <row r="76" spans="1:13" x14ac:dyDescent="0.25">
      <c r="A76">
        <v>75</v>
      </c>
      <c r="B76" s="1">
        <v>45932.217291666668</v>
      </c>
      <c r="C76" t="s">
        <v>26</v>
      </c>
      <c r="D76">
        <v>44</v>
      </c>
      <c r="E76" t="s">
        <v>16</v>
      </c>
      <c r="F76" t="s">
        <v>23</v>
      </c>
      <c r="G76">
        <v>19</v>
      </c>
      <c r="H76">
        <v>224</v>
      </c>
      <c r="I76">
        <v>158</v>
      </c>
      <c r="J76">
        <v>15358</v>
      </c>
      <c r="K76">
        <v>6.3</v>
      </c>
      <c r="L76">
        <v>53.5</v>
      </c>
      <c r="M76" t="str" cm="1">
        <f t="array" ref="M76">_xlfn.IFS(D80&lt;=30,"Young",D80&lt;55,"Middle age",D80&gt;54,"Senior")</f>
        <v>Middle age</v>
      </c>
    </row>
    <row r="77" spans="1:13" x14ac:dyDescent="0.25">
      <c r="A77">
        <v>76</v>
      </c>
      <c r="B77" s="1">
        <v>45793.105486111112</v>
      </c>
      <c r="C77" t="s">
        <v>37</v>
      </c>
      <c r="D77">
        <v>50</v>
      </c>
      <c r="E77" t="s">
        <v>13</v>
      </c>
      <c r="F77" t="s">
        <v>41</v>
      </c>
      <c r="G77">
        <v>10</v>
      </c>
      <c r="H77">
        <v>427</v>
      </c>
      <c r="I77">
        <v>145</v>
      </c>
      <c r="J77">
        <v>22113</v>
      </c>
      <c r="K77">
        <v>4.3</v>
      </c>
      <c r="L77">
        <v>68.8</v>
      </c>
      <c r="M77" t="str" cm="1">
        <f t="array" ref="M77">_xlfn.IFS(D81&lt;=30,"Young",D81&lt;55,"Middle age",D81&gt;54,"Senior")</f>
        <v>Senior</v>
      </c>
    </row>
    <row r="78" spans="1:13" x14ac:dyDescent="0.25">
      <c r="A78">
        <v>77</v>
      </c>
      <c r="B78" s="1">
        <v>45808.625625000001</v>
      </c>
      <c r="C78" t="s">
        <v>12</v>
      </c>
      <c r="D78">
        <v>51</v>
      </c>
      <c r="E78" t="s">
        <v>13</v>
      </c>
      <c r="F78" t="s">
        <v>41</v>
      </c>
      <c r="G78">
        <v>97</v>
      </c>
      <c r="H78">
        <v>169</v>
      </c>
      <c r="I78">
        <v>144</v>
      </c>
      <c r="J78">
        <v>10749</v>
      </c>
      <c r="K78">
        <v>7.2</v>
      </c>
      <c r="L78">
        <v>67.3</v>
      </c>
      <c r="M78" t="str" cm="1">
        <f t="array" ref="M78">_xlfn.IFS(D82&lt;=30,"Young",D82&lt;55,"Middle age",D82&gt;54,"Senior")</f>
        <v>Senior</v>
      </c>
    </row>
    <row r="79" spans="1:13" x14ac:dyDescent="0.25">
      <c r="A79">
        <v>78</v>
      </c>
      <c r="B79" s="1">
        <v>45852.150625000002</v>
      </c>
      <c r="C79" t="s">
        <v>45</v>
      </c>
      <c r="D79">
        <v>31</v>
      </c>
      <c r="E79" t="s">
        <v>16</v>
      </c>
      <c r="F79" t="s">
        <v>41</v>
      </c>
      <c r="G79">
        <v>70</v>
      </c>
      <c r="H79">
        <v>390</v>
      </c>
      <c r="I79">
        <v>78</v>
      </c>
      <c r="J79">
        <v>17861</v>
      </c>
      <c r="K79">
        <v>3.9</v>
      </c>
      <c r="L79">
        <v>78.599999999999994</v>
      </c>
      <c r="M79" t="str" cm="1">
        <f t="array" ref="M79">_xlfn.IFS(D83&lt;=30,"Young",D83&lt;55,"Middle age",D83&gt;54,"Senior")</f>
        <v>Senior</v>
      </c>
    </row>
    <row r="80" spans="1:13" x14ac:dyDescent="0.25">
      <c r="A80">
        <v>79</v>
      </c>
      <c r="B80" s="1">
        <v>45775.934652777774</v>
      </c>
      <c r="C80" t="s">
        <v>34</v>
      </c>
      <c r="D80">
        <v>47</v>
      </c>
      <c r="E80" t="s">
        <v>13</v>
      </c>
      <c r="F80" t="s">
        <v>25</v>
      </c>
      <c r="G80">
        <v>23</v>
      </c>
      <c r="H80">
        <v>443</v>
      </c>
      <c r="I80">
        <v>108</v>
      </c>
      <c r="J80">
        <v>11255</v>
      </c>
      <c r="K80">
        <v>9.4</v>
      </c>
      <c r="L80">
        <v>74.8</v>
      </c>
      <c r="M80" t="str" cm="1">
        <f t="array" ref="M80">_xlfn.IFS(D84&lt;=30,"Young",D84&lt;55,"Middle age",D84&gt;54,"Senior")</f>
        <v>Middle age</v>
      </c>
    </row>
    <row r="81" spans="1:13" x14ac:dyDescent="0.25">
      <c r="A81">
        <v>80</v>
      </c>
      <c r="B81" s="1">
        <v>45906.92701388889</v>
      </c>
      <c r="C81" t="s">
        <v>57</v>
      </c>
      <c r="D81">
        <v>58</v>
      </c>
      <c r="E81" t="s">
        <v>22</v>
      </c>
      <c r="F81" t="s">
        <v>41</v>
      </c>
      <c r="G81">
        <v>99</v>
      </c>
      <c r="H81">
        <v>167</v>
      </c>
      <c r="I81">
        <v>178</v>
      </c>
      <c r="J81">
        <v>20214</v>
      </c>
      <c r="K81">
        <v>8.8000000000000007</v>
      </c>
      <c r="L81">
        <v>66.5</v>
      </c>
      <c r="M81" t="str" cm="1">
        <f t="array" ref="M81">_xlfn.IFS(D85&lt;=30,"Young",D85&lt;55,"Middle age",D85&gt;54,"Senior")</f>
        <v>Middle age</v>
      </c>
    </row>
    <row r="82" spans="1:13" x14ac:dyDescent="0.25">
      <c r="A82">
        <v>81</v>
      </c>
      <c r="B82" s="1">
        <v>45892.195763888885</v>
      </c>
      <c r="C82" t="s">
        <v>57</v>
      </c>
      <c r="D82">
        <v>68</v>
      </c>
      <c r="E82" t="s">
        <v>13</v>
      </c>
      <c r="F82" t="s">
        <v>14</v>
      </c>
      <c r="G82">
        <v>91</v>
      </c>
      <c r="H82">
        <v>370</v>
      </c>
      <c r="I82">
        <v>121</v>
      </c>
      <c r="J82">
        <v>16206</v>
      </c>
      <c r="K82">
        <v>9.1999999999999993</v>
      </c>
      <c r="L82">
        <v>84.2</v>
      </c>
      <c r="M82" t="str" cm="1">
        <f t="array" ref="M82">_xlfn.IFS(D86&lt;=30,"Young",D86&lt;55,"Middle age",D86&gt;54,"Senior")</f>
        <v>Middle age</v>
      </c>
    </row>
    <row r="83" spans="1:13" x14ac:dyDescent="0.25">
      <c r="A83">
        <v>82</v>
      </c>
      <c r="B83" s="1">
        <v>45939.084652777776</v>
      </c>
      <c r="C83" t="s">
        <v>26</v>
      </c>
      <c r="D83">
        <v>55</v>
      </c>
      <c r="E83" t="s">
        <v>22</v>
      </c>
      <c r="F83" t="s">
        <v>27</v>
      </c>
      <c r="G83">
        <v>68</v>
      </c>
      <c r="H83">
        <v>431</v>
      </c>
      <c r="I83">
        <v>137</v>
      </c>
      <c r="J83">
        <v>16443</v>
      </c>
      <c r="K83">
        <v>3</v>
      </c>
      <c r="L83">
        <v>76.3</v>
      </c>
      <c r="M83" t="str" cm="1">
        <f t="array" ref="M83">_xlfn.IFS(D87&lt;=30,"Young",D87&lt;55,"Middle age",D87&gt;54,"Senior")</f>
        <v>Young</v>
      </c>
    </row>
    <row r="84" spans="1:13" x14ac:dyDescent="0.25">
      <c r="A84">
        <v>83</v>
      </c>
      <c r="B84" s="1">
        <v>45921.748541666668</v>
      </c>
      <c r="C84" t="s">
        <v>31</v>
      </c>
      <c r="D84">
        <v>38</v>
      </c>
      <c r="E84" t="s">
        <v>13</v>
      </c>
      <c r="F84" t="s">
        <v>25</v>
      </c>
      <c r="G84">
        <v>95</v>
      </c>
      <c r="H84">
        <v>124</v>
      </c>
      <c r="I84">
        <v>105</v>
      </c>
      <c r="J84">
        <v>18334</v>
      </c>
      <c r="K84">
        <v>4.3</v>
      </c>
      <c r="L84">
        <v>51.3</v>
      </c>
      <c r="M84" t="str" cm="1">
        <f t="array" ref="M84">_xlfn.IFS(D88&lt;=30,"Young",D88&lt;55,"Middle age",D88&gt;54,"Senior")</f>
        <v>Senior</v>
      </c>
    </row>
    <row r="85" spans="1:13" x14ac:dyDescent="0.25">
      <c r="A85">
        <v>84</v>
      </c>
      <c r="B85" s="1">
        <v>45899.715208333335</v>
      </c>
      <c r="C85" t="s">
        <v>59</v>
      </c>
      <c r="D85">
        <v>48</v>
      </c>
      <c r="E85" t="s">
        <v>16</v>
      </c>
      <c r="F85" t="s">
        <v>27</v>
      </c>
      <c r="G85">
        <v>25</v>
      </c>
      <c r="H85">
        <v>341</v>
      </c>
      <c r="I85">
        <v>88</v>
      </c>
      <c r="J85">
        <v>16892</v>
      </c>
      <c r="K85">
        <v>8.6999999999999993</v>
      </c>
      <c r="L85">
        <v>61.8</v>
      </c>
      <c r="M85" t="str" cm="1">
        <f t="array" ref="M85">_xlfn.IFS(D89&lt;=30,"Young",D89&lt;55,"Middle age",D89&gt;54,"Senior")</f>
        <v>Young</v>
      </c>
    </row>
    <row r="86" spans="1:13" x14ac:dyDescent="0.25">
      <c r="A86">
        <v>85</v>
      </c>
      <c r="B86" s="1">
        <v>45922.001319444447</v>
      </c>
      <c r="C86" t="s">
        <v>61</v>
      </c>
      <c r="D86">
        <v>34</v>
      </c>
      <c r="E86" t="s">
        <v>16</v>
      </c>
      <c r="F86" t="s">
        <v>25</v>
      </c>
      <c r="G86">
        <v>16</v>
      </c>
      <c r="H86">
        <v>317</v>
      </c>
      <c r="I86">
        <v>167</v>
      </c>
      <c r="J86">
        <v>21514</v>
      </c>
      <c r="K86">
        <v>8.1999999999999993</v>
      </c>
      <c r="L86">
        <v>82.2</v>
      </c>
      <c r="M86" t="str" cm="1">
        <f t="array" ref="M86">_xlfn.IFS(D90&lt;=30,"Young",D90&lt;55,"Middle age",D90&gt;54,"Senior")</f>
        <v>Senior</v>
      </c>
    </row>
    <row r="87" spans="1:13" x14ac:dyDescent="0.25">
      <c r="A87">
        <v>86</v>
      </c>
      <c r="B87" s="1">
        <v>45910.043680555558</v>
      </c>
      <c r="C87" t="s">
        <v>46</v>
      </c>
      <c r="D87">
        <v>19</v>
      </c>
      <c r="E87" t="s">
        <v>22</v>
      </c>
      <c r="F87" t="s">
        <v>27</v>
      </c>
      <c r="G87">
        <v>33</v>
      </c>
      <c r="H87">
        <v>125</v>
      </c>
      <c r="I87">
        <v>143</v>
      </c>
      <c r="J87">
        <v>21400</v>
      </c>
      <c r="K87">
        <v>5.7</v>
      </c>
      <c r="L87">
        <v>61</v>
      </c>
      <c r="M87" t="str" cm="1">
        <f t="array" ref="M87">_xlfn.IFS(D91&lt;=30,"Young",D91&lt;55,"Middle age",D91&gt;54,"Senior")</f>
        <v>Middle age</v>
      </c>
    </row>
    <row r="88" spans="1:13" x14ac:dyDescent="0.25">
      <c r="A88">
        <v>87</v>
      </c>
      <c r="B88" s="1">
        <v>45908.060347222221</v>
      </c>
      <c r="C88" t="s">
        <v>33</v>
      </c>
      <c r="D88">
        <v>58</v>
      </c>
      <c r="E88" t="s">
        <v>13</v>
      </c>
      <c r="F88" t="s">
        <v>23</v>
      </c>
      <c r="G88">
        <v>20</v>
      </c>
      <c r="H88">
        <v>292</v>
      </c>
      <c r="I88">
        <v>136</v>
      </c>
      <c r="J88">
        <v>23482</v>
      </c>
      <c r="K88">
        <v>4.2</v>
      </c>
      <c r="L88">
        <v>70.3</v>
      </c>
      <c r="M88" t="str" cm="1">
        <f t="array" ref="M88">_xlfn.IFS(D92&lt;=30,"Young",D92&lt;55,"Middle age",D92&gt;54,"Senior")</f>
        <v>Middle age</v>
      </c>
    </row>
    <row r="89" spans="1:13" x14ac:dyDescent="0.25">
      <c r="A89">
        <v>88</v>
      </c>
      <c r="B89" s="1">
        <v>45911.582569444443</v>
      </c>
      <c r="C89" t="s">
        <v>18</v>
      </c>
      <c r="D89">
        <v>22</v>
      </c>
      <c r="E89" t="s">
        <v>22</v>
      </c>
      <c r="F89" t="s">
        <v>27</v>
      </c>
      <c r="G89">
        <v>42</v>
      </c>
      <c r="H89">
        <v>351</v>
      </c>
      <c r="I89">
        <v>66</v>
      </c>
      <c r="J89">
        <v>10128</v>
      </c>
      <c r="K89">
        <v>7.9</v>
      </c>
      <c r="L89">
        <v>80</v>
      </c>
      <c r="M89" t="str" cm="1">
        <f t="array" ref="M89">_xlfn.IFS(D93&lt;=30,"Young",D93&lt;55,"Middle age",D93&gt;54,"Senior")</f>
        <v>Middle age</v>
      </c>
    </row>
    <row r="90" spans="1:13" x14ac:dyDescent="0.25">
      <c r="A90">
        <v>89</v>
      </c>
      <c r="B90" s="1">
        <v>45892.125625000001</v>
      </c>
      <c r="C90" t="s">
        <v>54</v>
      </c>
      <c r="D90">
        <v>62</v>
      </c>
      <c r="E90" t="s">
        <v>22</v>
      </c>
      <c r="F90" t="s">
        <v>14</v>
      </c>
      <c r="G90">
        <v>21</v>
      </c>
      <c r="H90">
        <v>345</v>
      </c>
      <c r="I90">
        <v>62</v>
      </c>
      <c r="J90">
        <v>15211</v>
      </c>
      <c r="K90">
        <v>4.3</v>
      </c>
      <c r="L90">
        <v>51.9</v>
      </c>
      <c r="M90" t="str" cm="1">
        <f t="array" ref="M90">_xlfn.IFS(D94&lt;=30,"Young",D94&lt;55,"Middle age",D94&gt;54,"Senior")</f>
        <v>Senior</v>
      </c>
    </row>
    <row r="91" spans="1:13" x14ac:dyDescent="0.25">
      <c r="A91">
        <v>90</v>
      </c>
      <c r="B91" s="1">
        <v>45807.819374999999</v>
      </c>
      <c r="C91" t="s">
        <v>21</v>
      </c>
      <c r="D91">
        <v>47</v>
      </c>
      <c r="E91" t="s">
        <v>16</v>
      </c>
      <c r="F91" t="s">
        <v>27</v>
      </c>
      <c r="G91">
        <v>46</v>
      </c>
      <c r="H91">
        <v>427</v>
      </c>
      <c r="I91">
        <v>80</v>
      </c>
      <c r="J91">
        <v>18973</v>
      </c>
      <c r="K91">
        <v>7.7</v>
      </c>
      <c r="L91">
        <v>49</v>
      </c>
      <c r="M91" t="str" cm="1">
        <f t="array" ref="M91">_xlfn.IFS(D95&lt;=30,"Young",D95&lt;55,"Middle age",D95&gt;54,"Senior")</f>
        <v>Young</v>
      </c>
    </row>
    <row r="92" spans="1:13" x14ac:dyDescent="0.25">
      <c r="A92">
        <v>91</v>
      </c>
      <c r="B92" s="1">
        <v>45927.399930555555</v>
      </c>
      <c r="C92" t="s">
        <v>54</v>
      </c>
      <c r="D92">
        <v>49</v>
      </c>
      <c r="E92" t="s">
        <v>16</v>
      </c>
      <c r="F92" t="s">
        <v>20</v>
      </c>
      <c r="G92">
        <v>104</v>
      </c>
      <c r="H92">
        <v>313</v>
      </c>
      <c r="I92">
        <v>100</v>
      </c>
      <c r="J92">
        <v>15990</v>
      </c>
      <c r="K92">
        <v>6.5</v>
      </c>
      <c r="L92">
        <v>73.3</v>
      </c>
      <c r="M92" t="str" cm="1">
        <f t="array" ref="M92">_xlfn.IFS(D96&lt;=30,"Young",D96&lt;55,"Middle age",D96&gt;54,"Senior")</f>
        <v>Senior</v>
      </c>
    </row>
    <row r="93" spans="1:13" x14ac:dyDescent="0.25">
      <c r="A93">
        <v>92</v>
      </c>
      <c r="B93" s="1">
        <v>45833.817986111113</v>
      </c>
      <c r="C93" t="s">
        <v>62</v>
      </c>
      <c r="D93">
        <v>31</v>
      </c>
      <c r="E93" t="s">
        <v>13</v>
      </c>
      <c r="F93" t="s">
        <v>23</v>
      </c>
      <c r="G93">
        <v>11</v>
      </c>
      <c r="H93">
        <v>272</v>
      </c>
      <c r="I93">
        <v>119</v>
      </c>
      <c r="J93">
        <v>18301</v>
      </c>
      <c r="K93">
        <v>3.7</v>
      </c>
      <c r="L93">
        <v>67.400000000000006</v>
      </c>
      <c r="M93" t="str" cm="1">
        <f t="array" ref="M93">_xlfn.IFS(D97&lt;=30,"Young",D97&lt;55,"Middle age",D97&gt;54,"Senior")</f>
        <v>Senior</v>
      </c>
    </row>
    <row r="94" spans="1:13" x14ac:dyDescent="0.25">
      <c r="A94">
        <v>93</v>
      </c>
      <c r="B94" s="1">
        <v>45792.671458333331</v>
      </c>
      <c r="C94" t="s">
        <v>63</v>
      </c>
      <c r="D94">
        <v>63</v>
      </c>
      <c r="E94" t="s">
        <v>16</v>
      </c>
      <c r="F94" t="s">
        <v>23</v>
      </c>
      <c r="G94">
        <v>108</v>
      </c>
      <c r="H94">
        <v>369</v>
      </c>
      <c r="I94">
        <v>165</v>
      </c>
      <c r="J94">
        <v>24789</v>
      </c>
      <c r="K94">
        <v>5.4</v>
      </c>
      <c r="L94">
        <v>73.400000000000006</v>
      </c>
      <c r="M94" t="str" cm="1">
        <f t="array" ref="M94">_xlfn.IFS(D98&lt;=30,"Young",D98&lt;55,"Middle age",D98&gt;54,"Senior")</f>
        <v>Young</v>
      </c>
    </row>
    <row r="95" spans="1:13" x14ac:dyDescent="0.25">
      <c r="A95">
        <v>94</v>
      </c>
      <c r="B95" s="1">
        <v>45876.944374999999</v>
      </c>
      <c r="C95" t="s">
        <v>39</v>
      </c>
      <c r="D95">
        <v>23</v>
      </c>
      <c r="E95" t="s">
        <v>22</v>
      </c>
      <c r="F95" t="s">
        <v>20</v>
      </c>
      <c r="G95">
        <v>5</v>
      </c>
      <c r="H95">
        <v>376</v>
      </c>
      <c r="I95">
        <v>89</v>
      </c>
      <c r="J95">
        <v>13162</v>
      </c>
      <c r="K95">
        <v>8.4</v>
      </c>
      <c r="L95">
        <v>88.1</v>
      </c>
      <c r="M95" t="str" cm="1">
        <f t="array" ref="M95">_xlfn.IFS(D99&lt;=30,"Young",D99&lt;55,"Middle age",D99&gt;54,"Senior")</f>
        <v>Young</v>
      </c>
    </row>
    <row r="96" spans="1:13" x14ac:dyDescent="0.25">
      <c r="A96">
        <v>95</v>
      </c>
      <c r="B96" s="1">
        <v>45867.888819444444</v>
      </c>
      <c r="C96" t="s">
        <v>47</v>
      </c>
      <c r="D96">
        <v>66</v>
      </c>
      <c r="E96" t="s">
        <v>16</v>
      </c>
      <c r="F96" t="s">
        <v>23</v>
      </c>
      <c r="G96">
        <v>108</v>
      </c>
      <c r="H96">
        <v>206</v>
      </c>
      <c r="I96">
        <v>63</v>
      </c>
      <c r="J96">
        <v>20934</v>
      </c>
      <c r="K96">
        <v>6.6</v>
      </c>
      <c r="L96">
        <v>74.2</v>
      </c>
      <c r="M96" t="str" cm="1">
        <f t="array" ref="M96">_xlfn.IFS(D100&lt;=30,"Young",D100&lt;55,"Middle age",D100&gt;54,"Senior")</f>
        <v>Senior</v>
      </c>
    </row>
    <row r="97" spans="1:13" x14ac:dyDescent="0.25">
      <c r="A97">
        <v>96</v>
      </c>
      <c r="B97" s="1">
        <v>45868.831180555557</v>
      </c>
      <c r="C97" t="s">
        <v>42</v>
      </c>
      <c r="D97">
        <v>59</v>
      </c>
      <c r="E97" t="s">
        <v>16</v>
      </c>
      <c r="F97" t="s">
        <v>17</v>
      </c>
      <c r="G97">
        <v>79</v>
      </c>
      <c r="H97">
        <v>344</v>
      </c>
      <c r="I97">
        <v>118</v>
      </c>
      <c r="J97">
        <v>5935</v>
      </c>
      <c r="K97">
        <v>8.9</v>
      </c>
      <c r="L97">
        <v>69.599999999999994</v>
      </c>
      <c r="M97" t="str" cm="1">
        <f t="array" ref="M97">_xlfn.IFS(D101&lt;=30,"Young",D101&lt;55,"Middle age",D101&gt;54,"Senior")</f>
        <v>Middle age</v>
      </c>
    </row>
    <row r="98" spans="1:13" x14ac:dyDescent="0.25">
      <c r="A98">
        <v>97</v>
      </c>
      <c r="B98" s="1">
        <v>45798.961736111109</v>
      </c>
      <c r="C98" t="s">
        <v>62</v>
      </c>
      <c r="D98">
        <v>27</v>
      </c>
      <c r="E98" t="s">
        <v>16</v>
      </c>
      <c r="F98" t="s">
        <v>20</v>
      </c>
      <c r="G98">
        <v>42</v>
      </c>
      <c r="H98">
        <v>50</v>
      </c>
      <c r="I98">
        <v>177</v>
      </c>
      <c r="J98">
        <v>9637</v>
      </c>
      <c r="K98">
        <v>7.7</v>
      </c>
      <c r="L98">
        <v>56.4</v>
      </c>
      <c r="M98" t="str" cm="1">
        <f t="array" ref="M98">_xlfn.IFS(D102&lt;=30,"Young",D102&lt;55,"Middle age",D102&gt;54,"Senior")</f>
        <v>Young</v>
      </c>
    </row>
    <row r="99" spans="1:13" x14ac:dyDescent="0.25">
      <c r="A99">
        <v>98</v>
      </c>
      <c r="B99" s="1">
        <v>45892.229097222225</v>
      </c>
      <c r="C99" t="s">
        <v>15</v>
      </c>
      <c r="D99">
        <v>25</v>
      </c>
      <c r="E99" t="s">
        <v>13</v>
      </c>
      <c r="F99" t="s">
        <v>14</v>
      </c>
      <c r="G99">
        <v>70</v>
      </c>
      <c r="H99">
        <v>50</v>
      </c>
      <c r="I99">
        <v>62</v>
      </c>
      <c r="J99">
        <v>21683</v>
      </c>
      <c r="K99">
        <v>3.3</v>
      </c>
      <c r="L99">
        <v>58.2</v>
      </c>
      <c r="M99" t="str" cm="1">
        <f t="array" ref="M99">_xlfn.IFS(D103&lt;=30,"Young",D103&lt;55,"Middle age",D103&gt;54,"Senior")</f>
        <v>Middle age</v>
      </c>
    </row>
    <row r="100" spans="1:13" x14ac:dyDescent="0.25">
      <c r="A100">
        <v>99</v>
      </c>
      <c r="B100" s="1">
        <v>45811.408263888887</v>
      </c>
      <c r="C100" t="s">
        <v>19</v>
      </c>
      <c r="D100">
        <v>61</v>
      </c>
      <c r="E100" t="s">
        <v>16</v>
      </c>
      <c r="F100" t="s">
        <v>25</v>
      </c>
      <c r="G100">
        <v>112</v>
      </c>
      <c r="H100">
        <v>369</v>
      </c>
      <c r="I100">
        <v>99</v>
      </c>
      <c r="J100">
        <v>5892</v>
      </c>
      <c r="K100">
        <v>8.6999999999999993</v>
      </c>
      <c r="L100">
        <v>53.1</v>
      </c>
      <c r="M100" t="str" cm="1">
        <f t="array" ref="M100">_xlfn.IFS(D104&lt;=30,"Young",D104&lt;55,"Middle age",D104&gt;54,"Senior")</f>
        <v>Senior</v>
      </c>
    </row>
    <row r="101" spans="1:13" x14ac:dyDescent="0.25">
      <c r="A101">
        <v>100</v>
      </c>
      <c r="B101" s="1">
        <v>45927.421458333331</v>
      </c>
      <c r="C101" t="s">
        <v>62</v>
      </c>
      <c r="D101">
        <v>35</v>
      </c>
      <c r="E101" t="s">
        <v>22</v>
      </c>
      <c r="F101" t="s">
        <v>17</v>
      </c>
      <c r="G101">
        <v>51</v>
      </c>
      <c r="H101">
        <v>74</v>
      </c>
      <c r="I101">
        <v>152</v>
      </c>
      <c r="J101">
        <v>18995</v>
      </c>
      <c r="K101">
        <v>5.0999999999999996</v>
      </c>
      <c r="L101">
        <v>35.299999999999997</v>
      </c>
      <c r="M101" t="str" cm="1">
        <f t="array" ref="M101">_xlfn.IFS(D105&lt;=30,"Young",D105&lt;55,"Middle age",D105&gt;54,"Senior")</f>
        <v>Senior</v>
      </c>
    </row>
    <row r="102" spans="1:13" x14ac:dyDescent="0.25">
      <c r="A102">
        <v>101</v>
      </c>
      <c r="B102" s="1">
        <v>45813.075624999998</v>
      </c>
      <c r="C102" t="s">
        <v>51</v>
      </c>
      <c r="D102">
        <v>17</v>
      </c>
      <c r="E102" t="s">
        <v>22</v>
      </c>
      <c r="F102" t="s">
        <v>23</v>
      </c>
      <c r="G102">
        <v>45</v>
      </c>
      <c r="H102">
        <v>330</v>
      </c>
      <c r="I102">
        <v>157</v>
      </c>
      <c r="J102">
        <v>21286</v>
      </c>
      <c r="K102">
        <v>6.8</v>
      </c>
      <c r="L102">
        <v>63.2</v>
      </c>
      <c r="M102" t="str" cm="1">
        <f t="array" ref="M102">_xlfn.IFS(D106&lt;=30,"Young",D106&lt;55,"Middle age",D106&gt;54,"Senior")</f>
        <v>Middle age</v>
      </c>
    </row>
    <row r="103" spans="1:13" x14ac:dyDescent="0.25">
      <c r="A103">
        <v>102</v>
      </c>
      <c r="B103" s="1">
        <v>45798.181180555555</v>
      </c>
      <c r="C103" t="s">
        <v>26</v>
      </c>
      <c r="D103">
        <v>34</v>
      </c>
      <c r="E103" t="s">
        <v>16</v>
      </c>
      <c r="F103" t="s">
        <v>25</v>
      </c>
      <c r="G103">
        <v>87</v>
      </c>
      <c r="H103">
        <v>362</v>
      </c>
      <c r="I103">
        <v>93</v>
      </c>
      <c r="J103">
        <v>10166</v>
      </c>
      <c r="K103">
        <v>5.6</v>
      </c>
      <c r="L103">
        <v>59</v>
      </c>
      <c r="M103" t="str" cm="1">
        <f t="array" ref="M103">_xlfn.IFS(D107&lt;=30,"Young",D107&lt;55,"Middle age",D107&gt;54,"Senior")</f>
        <v>Middle age</v>
      </c>
    </row>
    <row r="104" spans="1:13" x14ac:dyDescent="0.25">
      <c r="A104">
        <v>103</v>
      </c>
      <c r="B104" s="1">
        <v>45888.752708333333</v>
      </c>
      <c r="C104" t="s">
        <v>33</v>
      </c>
      <c r="D104">
        <v>56</v>
      </c>
      <c r="E104" t="s">
        <v>16</v>
      </c>
      <c r="F104" t="s">
        <v>23</v>
      </c>
      <c r="G104">
        <v>64</v>
      </c>
      <c r="H104">
        <v>318</v>
      </c>
      <c r="I104">
        <v>107</v>
      </c>
      <c r="J104">
        <v>19054</v>
      </c>
      <c r="K104">
        <v>8.6</v>
      </c>
      <c r="L104">
        <v>77.099999999999994</v>
      </c>
      <c r="M104" t="str" cm="1">
        <f t="array" ref="M104">_xlfn.IFS(D108&lt;=30,"Young",D108&lt;55,"Middle age",D108&gt;54,"Senior")</f>
        <v>Young</v>
      </c>
    </row>
    <row r="105" spans="1:13" x14ac:dyDescent="0.25">
      <c r="A105">
        <v>104</v>
      </c>
      <c r="B105" s="1">
        <v>45821.606180555558</v>
      </c>
      <c r="C105" t="s">
        <v>43</v>
      </c>
      <c r="D105">
        <v>67</v>
      </c>
      <c r="E105" t="s">
        <v>13</v>
      </c>
      <c r="F105" t="s">
        <v>17</v>
      </c>
      <c r="G105">
        <v>14</v>
      </c>
      <c r="H105">
        <v>402</v>
      </c>
      <c r="I105">
        <v>104</v>
      </c>
      <c r="J105">
        <v>4148</v>
      </c>
      <c r="K105">
        <v>8.6</v>
      </c>
      <c r="L105">
        <v>55</v>
      </c>
      <c r="M105" t="str" cm="1">
        <f t="array" ref="M105">_xlfn.IFS(D109&lt;=30,"Young",D109&lt;55,"Middle age",D109&gt;54,"Senior")</f>
        <v>Young</v>
      </c>
    </row>
    <row r="106" spans="1:13" x14ac:dyDescent="0.25">
      <c r="A106">
        <v>105</v>
      </c>
      <c r="B106" s="1">
        <v>45842.967986111114</v>
      </c>
      <c r="C106" t="s">
        <v>48</v>
      </c>
      <c r="D106">
        <v>34</v>
      </c>
      <c r="E106" t="s">
        <v>13</v>
      </c>
      <c r="F106" t="s">
        <v>23</v>
      </c>
      <c r="G106">
        <v>76</v>
      </c>
      <c r="H106">
        <v>319</v>
      </c>
      <c r="I106">
        <v>106</v>
      </c>
      <c r="J106">
        <v>5375</v>
      </c>
      <c r="K106">
        <v>7.4</v>
      </c>
      <c r="L106">
        <v>71.900000000000006</v>
      </c>
      <c r="M106" t="str" cm="1">
        <f t="array" ref="M106">_xlfn.IFS(D110&lt;=30,"Young",D110&lt;55,"Middle age",D110&gt;54,"Senior")</f>
        <v>Young</v>
      </c>
    </row>
    <row r="107" spans="1:13" x14ac:dyDescent="0.25">
      <c r="A107">
        <v>106</v>
      </c>
      <c r="B107" s="1">
        <v>45895.335347222222</v>
      </c>
      <c r="C107" t="s">
        <v>64</v>
      </c>
      <c r="D107">
        <v>41</v>
      </c>
      <c r="E107" t="s">
        <v>22</v>
      </c>
      <c r="F107" t="s">
        <v>41</v>
      </c>
      <c r="G107">
        <v>65</v>
      </c>
      <c r="H107">
        <v>422</v>
      </c>
      <c r="I107">
        <v>121</v>
      </c>
      <c r="J107">
        <v>19134</v>
      </c>
      <c r="K107">
        <v>7.5</v>
      </c>
      <c r="L107">
        <v>43.2</v>
      </c>
      <c r="M107" t="str" cm="1">
        <f t="array" ref="M107">_xlfn.IFS(D111&lt;=30,"Young",D111&lt;55,"Middle age",D111&gt;54,"Senior")</f>
        <v>Senior</v>
      </c>
    </row>
    <row r="108" spans="1:13" x14ac:dyDescent="0.25">
      <c r="A108">
        <v>107</v>
      </c>
      <c r="B108" s="1">
        <v>45843.131180555552</v>
      </c>
      <c r="C108" t="s">
        <v>65</v>
      </c>
      <c r="D108">
        <v>20</v>
      </c>
      <c r="E108" t="s">
        <v>13</v>
      </c>
      <c r="F108" t="s">
        <v>23</v>
      </c>
      <c r="G108">
        <v>22</v>
      </c>
      <c r="H108">
        <v>313</v>
      </c>
      <c r="I108">
        <v>139</v>
      </c>
      <c r="J108">
        <v>7286</v>
      </c>
      <c r="K108">
        <v>6.1</v>
      </c>
      <c r="L108">
        <v>76</v>
      </c>
      <c r="M108" t="str" cm="1">
        <f t="array" ref="M108">_xlfn.IFS(D112&lt;=30,"Young",D112&lt;55,"Middle age",D112&gt;54,"Senior")</f>
        <v>Middle age</v>
      </c>
    </row>
    <row r="109" spans="1:13" x14ac:dyDescent="0.25">
      <c r="A109">
        <v>108</v>
      </c>
      <c r="B109" s="1">
        <v>45861.942986111113</v>
      </c>
      <c r="C109" t="s">
        <v>58</v>
      </c>
      <c r="D109">
        <v>19</v>
      </c>
      <c r="E109" t="s">
        <v>22</v>
      </c>
      <c r="F109" t="s">
        <v>25</v>
      </c>
      <c r="G109">
        <v>79</v>
      </c>
      <c r="H109">
        <v>567</v>
      </c>
      <c r="I109">
        <v>148</v>
      </c>
      <c r="J109">
        <v>7565</v>
      </c>
      <c r="K109">
        <v>6.4</v>
      </c>
      <c r="L109">
        <v>64.3</v>
      </c>
      <c r="M109" t="str" cm="1">
        <f t="array" ref="M109">_xlfn.IFS(D113&lt;=30,"Young",D113&lt;55,"Middle age",D113&gt;54,"Senior")</f>
        <v>Middle age</v>
      </c>
    </row>
    <row r="110" spans="1:13" x14ac:dyDescent="0.25">
      <c r="A110">
        <v>109</v>
      </c>
      <c r="B110" s="1">
        <v>45932.546458333331</v>
      </c>
      <c r="C110" t="s">
        <v>64</v>
      </c>
      <c r="D110">
        <v>28</v>
      </c>
      <c r="E110" t="s">
        <v>22</v>
      </c>
      <c r="F110" t="s">
        <v>27</v>
      </c>
      <c r="G110">
        <v>40</v>
      </c>
      <c r="H110">
        <v>477</v>
      </c>
      <c r="I110">
        <v>98</v>
      </c>
      <c r="J110">
        <v>633</v>
      </c>
      <c r="K110">
        <v>4.9000000000000004</v>
      </c>
      <c r="L110">
        <v>62.9</v>
      </c>
      <c r="M110" t="str" cm="1">
        <f t="array" ref="M110">_xlfn.IFS(D114&lt;=30,"Young",D114&lt;55,"Middle age",D114&gt;54,"Senior")</f>
        <v>Middle age</v>
      </c>
    </row>
    <row r="111" spans="1:13" x14ac:dyDescent="0.25">
      <c r="A111">
        <v>110</v>
      </c>
      <c r="B111" s="1">
        <v>45801.945069444446</v>
      </c>
      <c r="C111" t="s">
        <v>47</v>
      </c>
      <c r="D111">
        <v>67</v>
      </c>
      <c r="E111" t="s">
        <v>22</v>
      </c>
      <c r="F111" t="s">
        <v>17</v>
      </c>
      <c r="G111">
        <v>109</v>
      </c>
      <c r="H111">
        <v>50</v>
      </c>
      <c r="I111">
        <v>97</v>
      </c>
      <c r="J111">
        <v>15952</v>
      </c>
      <c r="K111">
        <v>5.2</v>
      </c>
      <c r="L111">
        <v>73.3</v>
      </c>
      <c r="M111" t="str" cm="1">
        <f t="array" ref="M111">_xlfn.IFS(D115&lt;=30,"Young",D115&lt;55,"Middle age",D115&gt;54,"Senior")</f>
        <v>Middle age</v>
      </c>
    </row>
    <row r="112" spans="1:13" x14ac:dyDescent="0.25">
      <c r="A112">
        <v>111</v>
      </c>
      <c r="B112" s="1">
        <v>45936.617986111109</v>
      </c>
      <c r="C112" t="s">
        <v>40</v>
      </c>
      <c r="D112">
        <v>51</v>
      </c>
      <c r="E112" t="s">
        <v>13</v>
      </c>
      <c r="F112" t="s">
        <v>41</v>
      </c>
      <c r="G112">
        <v>47</v>
      </c>
      <c r="H112">
        <v>436</v>
      </c>
      <c r="I112">
        <v>128</v>
      </c>
      <c r="J112">
        <v>14000</v>
      </c>
      <c r="K112">
        <v>4.3</v>
      </c>
      <c r="L112">
        <v>73.900000000000006</v>
      </c>
      <c r="M112" t="str" cm="1">
        <f t="array" ref="M112">_xlfn.IFS(D116&lt;=30,"Young",D116&lt;55,"Middle age",D116&gt;54,"Senior")</f>
        <v>Senior</v>
      </c>
    </row>
    <row r="113" spans="1:13" x14ac:dyDescent="0.25">
      <c r="A113">
        <v>112</v>
      </c>
      <c r="B113" s="1">
        <v>45771.59784722222</v>
      </c>
      <c r="C113" t="s">
        <v>48</v>
      </c>
      <c r="D113">
        <v>42</v>
      </c>
      <c r="E113" t="s">
        <v>16</v>
      </c>
      <c r="F113" t="s">
        <v>23</v>
      </c>
      <c r="G113">
        <v>117</v>
      </c>
      <c r="H113">
        <v>313</v>
      </c>
      <c r="I113">
        <v>147</v>
      </c>
      <c r="J113">
        <v>9764</v>
      </c>
      <c r="K113">
        <v>5.5</v>
      </c>
      <c r="L113">
        <v>62</v>
      </c>
      <c r="M113" t="str" cm="1">
        <f t="array" ref="M113">_xlfn.IFS(D117&lt;=30,"Young",D117&lt;55,"Middle age",D117&gt;54,"Senior")</f>
        <v>Middle age</v>
      </c>
    </row>
    <row r="114" spans="1:13" x14ac:dyDescent="0.25">
      <c r="A114">
        <v>113</v>
      </c>
      <c r="B114" s="1">
        <v>45903.320763888885</v>
      </c>
      <c r="C114" t="s">
        <v>38</v>
      </c>
      <c r="D114">
        <v>31</v>
      </c>
      <c r="E114" t="s">
        <v>13</v>
      </c>
      <c r="F114" t="s">
        <v>27</v>
      </c>
      <c r="G114">
        <v>19</v>
      </c>
      <c r="H114">
        <v>417</v>
      </c>
      <c r="I114">
        <v>113</v>
      </c>
      <c r="J114">
        <v>15511</v>
      </c>
      <c r="K114">
        <v>5.9</v>
      </c>
      <c r="L114">
        <v>63.2</v>
      </c>
      <c r="M114" t="str" cm="1">
        <f t="array" ref="M114">_xlfn.IFS(D118&lt;=30,"Young",D118&lt;55,"Middle age",D118&gt;54,"Senior")</f>
        <v>Senior</v>
      </c>
    </row>
    <row r="115" spans="1:13" x14ac:dyDescent="0.25">
      <c r="A115">
        <v>114</v>
      </c>
      <c r="B115" s="1">
        <v>45937.279791666668</v>
      </c>
      <c r="C115" t="s">
        <v>55</v>
      </c>
      <c r="D115">
        <v>32</v>
      </c>
      <c r="E115" t="s">
        <v>22</v>
      </c>
      <c r="F115" t="s">
        <v>14</v>
      </c>
      <c r="G115">
        <v>21</v>
      </c>
      <c r="H115">
        <v>99</v>
      </c>
      <c r="I115">
        <v>84</v>
      </c>
      <c r="J115">
        <v>13967</v>
      </c>
      <c r="K115">
        <v>7.9</v>
      </c>
      <c r="L115">
        <v>72.2</v>
      </c>
      <c r="M115" t="str" cm="1">
        <f t="array" ref="M115">_xlfn.IFS(D119&lt;=30,"Young",D119&lt;55,"Middle age",D119&gt;54,"Senior")</f>
        <v>Middle age</v>
      </c>
    </row>
    <row r="116" spans="1:13" x14ac:dyDescent="0.25">
      <c r="A116">
        <v>115</v>
      </c>
      <c r="B116" s="1">
        <v>45809.366597222222</v>
      </c>
      <c r="C116" t="s">
        <v>66</v>
      </c>
      <c r="D116">
        <v>55</v>
      </c>
      <c r="E116" t="s">
        <v>22</v>
      </c>
      <c r="F116" t="s">
        <v>27</v>
      </c>
      <c r="G116">
        <v>27</v>
      </c>
      <c r="H116">
        <v>226</v>
      </c>
      <c r="I116">
        <v>153</v>
      </c>
      <c r="J116">
        <v>16860</v>
      </c>
      <c r="K116">
        <v>6.8</v>
      </c>
      <c r="L116">
        <v>61.7</v>
      </c>
      <c r="M116" t="str" cm="1">
        <f t="array" ref="M116">_xlfn.IFS(D120&lt;=30,"Young",D120&lt;55,"Middle age",D120&gt;54,"Senior")</f>
        <v>Middle age</v>
      </c>
    </row>
    <row r="117" spans="1:13" x14ac:dyDescent="0.25">
      <c r="A117">
        <v>116</v>
      </c>
      <c r="B117" s="1">
        <v>45817.269375000003</v>
      </c>
      <c r="C117" t="s">
        <v>28</v>
      </c>
      <c r="D117">
        <v>50</v>
      </c>
      <c r="E117" t="s">
        <v>22</v>
      </c>
      <c r="F117" t="s">
        <v>27</v>
      </c>
      <c r="G117">
        <v>118</v>
      </c>
      <c r="H117">
        <v>271</v>
      </c>
      <c r="I117">
        <v>155</v>
      </c>
      <c r="J117">
        <v>24984</v>
      </c>
      <c r="K117">
        <v>4.9000000000000004</v>
      </c>
      <c r="L117">
        <v>87.5</v>
      </c>
      <c r="M117" t="str" cm="1">
        <f t="array" ref="M117">_xlfn.IFS(D121&lt;=30,"Young",D121&lt;55,"Middle age",D121&gt;54,"Senior")</f>
        <v>Young</v>
      </c>
    </row>
    <row r="118" spans="1:13" x14ac:dyDescent="0.25">
      <c r="A118">
        <v>117</v>
      </c>
      <c r="B118" s="1">
        <v>45782.226319444446</v>
      </c>
      <c r="C118" t="s">
        <v>50</v>
      </c>
      <c r="D118">
        <v>65</v>
      </c>
      <c r="E118" t="s">
        <v>22</v>
      </c>
      <c r="F118" t="s">
        <v>17</v>
      </c>
      <c r="G118">
        <v>78</v>
      </c>
      <c r="H118">
        <v>315</v>
      </c>
      <c r="I118">
        <v>61</v>
      </c>
      <c r="J118">
        <v>4079</v>
      </c>
      <c r="K118">
        <v>5</v>
      </c>
      <c r="L118">
        <v>69</v>
      </c>
      <c r="M118" t="str" cm="1">
        <f t="array" ref="M118">_xlfn.IFS(D122&lt;=30,"Young",D122&lt;55,"Middle age",D122&gt;54,"Senior")</f>
        <v>Young</v>
      </c>
    </row>
    <row r="119" spans="1:13" x14ac:dyDescent="0.25">
      <c r="A119">
        <v>118</v>
      </c>
      <c r="B119" s="1">
        <v>45877.283958333333</v>
      </c>
      <c r="C119" t="s">
        <v>26</v>
      </c>
      <c r="D119">
        <v>48</v>
      </c>
      <c r="E119" t="s">
        <v>22</v>
      </c>
      <c r="F119" t="s">
        <v>25</v>
      </c>
      <c r="G119">
        <v>13</v>
      </c>
      <c r="H119">
        <v>502</v>
      </c>
      <c r="I119">
        <v>138</v>
      </c>
      <c r="J119">
        <v>16181</v>
      </c>
      <c r="K119">
        <v>7.1</v>
      </c>
      <c r="L119">
        <v>67.099999999999994</v>
      </c>
      <c r="M119" t="str" cm="1">
        <f t="array" ref="M119">_xlfn.IFS(D123&lt;=30,"Young",D123&lt;55,"Middle age",D123&gt;54,"Senior")</f>
        <v>Senior</v>
      </c>
    </row>
    <row r="120" spans="1:13" x14ac:dyDescent="0.25">
      <c r="A120">
        <v>119</v>
      </c>
      <c r="B120" s="1">
        <v>45885.899236111109</v>
      </c>
      <c r="C120" t="s">
        <v>38</v>
      </c>
      <c r="D120">
        <v>33</v>
      </c>
      <c r="E120" t="s">
        <v>16</v>
      </c>
      <c r="F120" t="s">
        <v>27</v>
      </c>
      <c r="G120">
        <v>113</v>
      </c>
      <c r="H120">
        <v>230</v>
      </c>
      <c r="I120">
        <v>139</v>
      </c>
      <c r="J120">
        <v>11995</v>
      </c>
      <c r="K120">
        <v>7.7</v>
      </c>
      <c r="L120">
        <v>79.7</v>
      </c>
      <c r="M120" t="str" cm="1">
        <f t="array" ref="M120">_xlfn.IFS(D124&lt;=30,"Young",D124&lt;55,"Middle age",D124&gt;54,"Senior")</f>
        <v>Middle age</v>
      </c>
    </row>
    <row r="121" spans="1:13" x14ac:dyDescent="0.25">
      <c r="A121">
        <v>120</v>
      </c>
      <c r="B121" s="1">
        <v>45913.650625000002</v>
      </c>
      <c r="C121" t="s">
        <v>63</v>
      </c>
      <c r="D121">
        <v>23</v>
      </c>
      <c r="E121" t="s">
        <v>22</v>
      </c>
      <c r="F121" t="s">
        <v>23</v>
      </c>
      <c r="G121">
        <v>107</v>
      </c>
      <c r="H121">
        <v>397</v>
      </c>
      <c r="I121">
        <v>104</v>
      </c>
      <c r="J121">
        <v>9017</v>
      </c>
      <c r="K121">
        <v>6.5</v>
      </c>
      <c r="L121">
        <v>71.7</v>
      </c>
      <c r="M121" t="str" cm="1">
        <f t="array" ref="M121">_xlfn.IFS(D125&lt;=30,"Young",D125&lt;55,"Middle age",D125&gt;54,"Senior")</f>
        <v>Young</v>
      </c>
    </row>
    <row r="122" spans="1:13" x14ac:dyDescent="0.25">
      <c r="A122">
        <v>121</v>
      </c>
      <c r="B122" s="1">
        <v>45813.695763888885</v>
      </c>
      <c r="C122" t="s">
        <v>67</v>
      </c>
      <c r="D122">
        <v>25</v>
      </c>
      <c r="E122" t="s">
        <v>22</v>
      </c>
      <c r="F122" t="s">
        <v>23</v>
      </c>
      <c r="G122">
        <v>79</v>
      </c>
      <c r="H122">
        <v>223</v>
      </c>
      <c r="I122">
        <v>158</v>
      </c>
      <c r="J122">
        <v>5213</v>
      </c>
      <c r="K122">
        <v>8.6</v>
      </c>
      <c r="L122">
        <v>70.8</v>
      </c>
      <c r="M122" t="str" cm="1">
        <f t="array" ref="M122">_xlfn.IFS(D126&lt;=30,"Young",D126&lt;55,"Middle age",D126&gt;54,"Senior")</f>
        <v>Middle age</v>
      </c>
    </row>
    <row r="123" spans="1:13" x14ac:dyDescent="0.25">
      <c r="A123">
        <v>122</v>
      </c>
      <c r="B123" s="1">
        <v>45790.949930555558</v>
      </c>
      <c r="C123" t="s">
        <v>61</v>
      </c>
      <c r="D123">
        <v>66</v>
      </c>
      <c r="E123" t="s">
        <v>22</v>
      </c>
      <c r="F123" t="s">
        <v>14</v>
      </c>
      <c r="G123">
        <v>70</v>
      </c>
      <c r="H123">
        <v>416</v>
      </c>
      <c r="I123">
        <v>157</v>
      </c>
      <c r="J123">
        <v>17951</v>
      </c>
      <c r="K123">
        <v>8.1999999999999993</v>
      </c>
      <c r="L123">
        <v>63.5</v>
      </c>
      <c r="M123" t="str" cm="1">
        <f t="array" ref="M123">_xlfn.IFS(D127&lt;=30,"Young",D127&lt;55,"Middle age",D127&gt;54,"Senior")</f>
        <v>Senior</v>
      </c>
    </row>
    <row r="124" spans="1:13" x14ac:dyDescent="0.25">
      <c r="A124">
        <v>123</v>
      </c>
      <c r="B124" s="1">
        <v>45919.118680555555</v>
      </c>
      <c r="C124" t="s">
        <v>34</v>
      </c>
      <c r="D124">
        <v>49</v>
      </c>
      <c r="E124" t="s">
        <v>13</v>
      </c>
      <c r="F124" t="s">
        <v>20</v>
      </c>
      <c r="G124">
        <v>60</v>
      </c>
      <c r="H124">
        <v>301</v>
      </c>
      <c r="I124">
        <v>98</v>
      </c>
      <c r="J124">
        <v>20424</v>
      </c>
      <c r="K124">
        <v>5.2</v>
      </c>
      <c r="L124">
        <v>88.4</v>
      </c>
      <c r="M124" t="str" cm="1">
        <f t="array" ref="M124">_xlfn.IFS(D128&lt;=30,"Young",D128&lt;55,"Middle age",D128&gt;54,"Senior")</f>
        <v>Senior</v>
      </c>
    </row>
    <row r="125" spans="1:13" x14ac:dyDescent="0.25">
      <c r="A125">
        <v>124</v>
      </c>
      <c r="B125" s="1">
        <v>45817.204791666663</v>
      </c>
      <c r="C125" t="s">
        <v>45</v>
      </c>
      <c r="D125">
        <v>23</v>
      </c>
      <c r="E125" t="s">
        <v>16</v>
      </c>
      <c r="F125" t="s">
        <v>17</v>
      </c>
      <c r="G125">
        <v>77</v>
      </c>
      <c r="H125">
        <v>50</v>
      </c>
      <c r="I125">
        <v>161</v>
      </c>
      <c r="J125">
        <v>19046</v>
      </c>
      <c r="K125">
        <v>4.8</v>
      </c>
      <c r="L125">
        <v>48</v>
      </c>
      <c r="M125" t="str" cm="1">
        <f t="array" ref="M125">_xlfn.IFS(D129&lt;=30,"Young",D129&lt;55,"Middle age",D129&gt;54,"Senior")</f>
        <v>Middle age</v>
      </c>
    </row>
    <row r="126" spans="1:13" x14ac:dyDescent="0.25">
      <c r="A126">
        <v>125</v>
      </c>
      <c r="B126" s="1">
        <v>45820.572847222225</v>
      </c>
      <c r="C126" t="s">
        <v>31</v>
      </c>
      <c r="D126">
        <v>37</v>
      </c>
      <c r="E126" t="s">
        <v>13</v>
      </c>
      <c r="F126" t="s">
        <v>14</v>
      </c>
      <c r="G126">
        <v>109</v>
      </c>
      <c r="H126">
        <v>240</v>
      </c>
      <c r="I126">
        <v>85</v>
      </c>
      <c r="J126">
        <v>13407</v>
      </c>
      <c r="K126">
        <v>4.2</v>
      </c>
      <c r="L126">
        <v>84.8</v>
      </c>
      <c r="M126" t="str" cm="1">
        <f t="array" ref="M126">_xlfn.IFS(D130&lt;=30,"Young",D130&lt;55,"Middle age",D130&gt;54,"Senior")</f>
        <v>Middle age</v>
      </c>
    </row>
    <row r="127" spans="1:13" x14ac:dyDescent="0.25">
      <c r="A127">
        <v>126</v>
      </c>
      <c r="B127" s="1">
        <v>45888.181180555555</v>
      </c>
      <c r="C127" t="s">
        <v>53</v>
      </c>
      <c r="D127">
        <v>61</v>
      </c>
      <c r="E127" t="s">
        <v>22</v>
      </c>
      <c r="F127" t="s">
        <v>23</v>
      </c>
      <c r="G127">
        <v>15</v>
      </c>
      <c r="H127">
        <v>552</v>
      </c>
      <c r="I127">
        <v>136</v>
      </c>
      <c r="J127">
        <v>8650</v>
      </c>
      <c r="K127">
        <v>6.1</v>
      </c>
      <c r="L127">
        <v>77.5</v>
      </c>
      <c r="M127" t="str" cm="1">
        <f t="array" ref="M127">_xlfn.IFS(D131&lt;=30,"Young",D131&lt;55,"Middle age",D131&gt;54,"Senior")</f>
        <v>Young</v>
      </c>
    </row>
    <row r="128" spans="1:13" x14ac:dyDescent="0.25">
      <c r="A128">
        <v>127</v>
      </c>
      <c r="B128" s="1">
        <v>45819.009652777779</v>
      </c>
      <c r="C128" t="s">
        <v>46</v>
      </c>
      <c r="D128">
        <v>57</v>
      </c>
      <c r="E128" t="s">
        <v>13</v>
      </c>
      <c r="F128" t="s">
        <v>27</v>
      </c>
      <c r="G128">
        <v>17</v>
      </c>
      <c r="H128">
        <v>281</v>
      </c>
      <c r="I128">
        <v>151</v>
      </c>
      <c r="J128">
        <v>19878</v>
      </c>
      <c r="K128">
        <v>9.5</v>
      </c>
      <c r="L128">
        <v>61.8</v>
      </c>
      <c r="M128" t="str" cm="1">
        <f t="array" ref="M128">_xlfn.IFS(D132&lt;=30,"Young",D132&lt;55,"Middle age",D132&gt;54,"Senior")</f>
        <v>Middle age</v>
      </c>
    </row>
    <row r="129" spans="1:13" x14ac:dyDescent="0.25">
      <c r="A129">
        <v>128</v>
      </c>
      <c r="B129" s="1">
        <v>45828.118680555555</v>
      </c>
      <c r="C129" t="s">
        <v>49</v>
      </c>
      <c r="D129">
        <v>38</v>
      </c>
      <c r="E129" t="s">
        <v>22</v>
      </c>
      <c r="F129" t="s">
        <v>27</v>
      </c>
      <c r="G129">
        <v>67</v>
      </c>
      <c r="H129">
        <v>315</v>
      </c>
      <c r="I129">
        <v>81</v>
      </c>
      <c r="J129">
        <v>23000</v>
      </c>
      <c r="K129">
        <v>9</v>
      </c>
      <c r="L129">
        <v>47.2</v>
      </c>
      <c r="M129" t="str" cm="1">
        <f t="array" ref="M129">_xlfn.IFS(D133&lt;=30,"Young",D133&lt;55,"Middle age",D133&gt;54,"Senior")</f>
        <v>Young</v>
      </c>
    </row>
    <row r="130" spans="1:13" x14ac:dyDescent="0.25">
      <c r="A130">
        <v>129</v>
      </c>
      <c r="B130" s="1">
        <v>45894.499236111114</v>
      </c>
      <c r="C130" t="s">
        <v>48</v>
      </c>
      <c r="D130">
        <v>47</v>
      </c>
      <c r="E130" t="s">
        <v>22</v>
      </c>
      <c r="F130" t="s">
        <v>23</v>
      </c>
      <c r="G130">
        <v>96</v>
      </c>
      <c r="H130">
        <v>332</v>
      </c>
      <c r="I130">
        <v>179</v>
      </c>
      <c r="J130">
        <v>19992</v>
      </c>
      <c r="K130">
        <v>4.2</v>
      </c>
      <c r="L130">
        <v>72.5</v>
      </c>
      <c r="M130" t="str" cm="1">
        <f t="array" ref="M130">_xlfn.IFS(D134&lt;=30,"Young",D134&lt;55,"Middle age",D134&gt;54,"Senior")</f>
        <v>Senior</v>
      </c>
    </row>
    <row r="131" spans="1:13" x14ac:dyDescent="0.25">
      <c r="A131">
        <v>130</v>
      </c>
      <c r="B131" s="1">
        <v>45843.600624999999</v>
      </c>
      <c r="C131" t="s">
        <v>24</v>
      </c>
      <c r="D131">
        <v>26</v>
      </c>
      <c r="E131" t="s">
        <v>13</v>
      </c>
      <c r="F131" t="s">
        <v>25</v>
      </c>
      <c r="G131">
        <v>95</v>
      </c>
      <c r="H131">
        <v>115</v>
      </c>
      <c r="I131">
        <v>137</v>
      </c>
      <c r="J131">
        <v>18294</v>
      </c>
      <c r="K131">
        <v>8.1</v>
      </c>
      <c r="L131">
        <v>72</v>
      </c>
      <c r="M131" t="str" cm="1">
        <f t="array" ref="M131">_xlfn.IFS(D135&lt;=30,"Young",D135&lt;55,"Middle age",D135&gt;54,"Senior")</f>
        <v>Middle age</v>
      </c>
    </row>
    <row r="132" spans="1:13" x14ac:dyDescent="0.25">
      <c r="A132">
        <v>131</v>
      </c>
      <c r="B132" s="1">
        <v>45855.166597222225</v>
      </c>
      <c r="C132" t="s">
        <v>53</v>
      </c>
      <c r="D132">
        <v>36</v>
      </c>
      <c r="E132" t="s">
        <v>16</v>
      </c>
      <c r="F132" t="s">
        <v>14</v>
      </c>
      <c r="G132">
        <v>74</v>
      </c>
      <c r="H132">
        <v>233</v>
      </c>
      <c r="I132">
        <v>60</v>
      </c>
      <c r="J132">
        <v>11448</v>
      </c>
      <c r="K132">
        <v>6.6</v>
      </c>
      <c r="L132">
        <v>89.7</v>
      </c>
      <c r="M132" t="str" cm="1">
        <f t="array" ref="M132">_xlfn.IFS(D136&lt;=30,"Young",D136&lt;55,"Middle age",D136&gt;54,"Senior")</f>
        <v>Young</v>
      </c>
    </row>
    <row r="133" spans="1:13" x14ac:dyDescent="0.25">
      <c r="A133">
        <v>132</v>
      </c>
      <c r="B133" s="1">
        <v>45942.913819444446</v>
      </c>
      <c r="C133" t="s">
        <v>56</v>
      </c>
      <c r="D133">
        <v>22</v>
      </c>
      <c r="E133" t="s">
        <v>16</v>
      </c>
      <c r="F133" t="s">
        <v>27</v>
      </c>
      <c r="G133">
        <v>63</v>
      </c>
      <c r="H133">
        <v>223</v>
      </c>
      <c r="I133">
        <v>142</v>
      </c>
      <c r="J133">
        <v>11047</v>
      </c>
      <c r="K133">
        <v>7.4</v>
      </c>
      <c r="L133">
        <v>53.2</v>
      </c>
      <c r="M133" t="str" cm="1">
        <f t="array" ref="M133">_xlfn.IFS(D137&lt;=30,"Young",D137&lt;55,"Middle age",D137&gt;54,"Senior")</f>
        <v>Middle age</v>
      </c>
    </row>
    <row r="134" spans="1:13" x14ac:dyDescent="0.25">
      <c r="A134">
        <v>133</v>
      </c>
      <c r="B134" s="1">
        <v>45882.117291666669</v>
      </c>
      <c r="C134" t="s">
        <v>59</v>
      </c>
      <c r="D134">
        <v>68</v>
      </c>
      <c r="E134" t="s">
        <v>13</v>
      </c>
      <c r="F134" t="s">
        <v>20</v>
      </c>
      <c r="G134">
        <v>27</v>
      </c>
      <c r="H134">
        <v>228</v>
      </c>
      <c r="I134">
        <v>85</v>
      </c>
      <c r="J134">
        <v>16060</v>
      </c>
      <c r="K134">
        <v>4.0999999999999996</v>
      </c>
      <c r="L134">
        <v>84.9</v>
      </c>
      <c r="M134" t="str" cm="1">
        <f t="array" ref="M134">_xlfn.IFS(D138&lt;=30,"Young",D138&lt;55,"Middle age",D138&gt;54,"Senior")</f>
        <v>Middle age</v>
      </c>
    </row>
    <row r="135" spans="1:13" x14ac:dyDescent="0.25">
      <c r="A135">
        <v>134</v>
      </c>
      <c r="B135" s="1">
        <v>45880.48673611111</v>
      </c>
      <c r="C135" t="s">
        <v>15</v>
      </c>
      <c r="D135">
        <v>42</v>
      </c>
      <c r="E135" t="s">
        <v>16</v>
      </c>
      <c r="F135" t="s">
        <v>27</v>
      </c>
      <c r="G135">
        <v>21</v>
      </c>
      <c r="H135">
        <v>334</v>
      </c>
      <c r="I135">
        <v>130</v>
      </c>
      <c r="J135">
        <v>5912</v>
      </c>
      <c r="K135">
        <v>8.1</v>
      </c>
      <c r="L135">
        <v>69.400000000000006</v>
      </c>
      <c r="M135" t="str" cm="1">
        <f t="array" ref="M135">_xlfn.IFS(D139&lt;=30,"Young",D139&lt;55,"Middle age",D139&gt;54,"Senior")</f>
        <v>Middle age</v>
      </c>
    </row>
    <row r="136" spans="1:13" x14ac:dyDescent="0.25">
      <c r="A136">
        <v>135</v>
      </c>
      <c r="B136" s="1">
        <v>45910.078402777777</v>
      </c>
      <c r="C136" t="s">
        <v>30</v>
      </c>
      <c r="D136">
        <v>22</v>
      </c>
      <c r="E136" t="s">
        <v>13</v>
      </c>
      <c r="F136" t="s">
        <v>23</v>
      </c>
      <c r="G136">
        <v>98</v>
      </c>
      <c r="H136">
        <v>446</v>
      </c>
      <c r="I136">
        <v>161</v>
      </c>
      <c r="J136">
        <v>3411</v>
      </c>
      <c r="K136">
        <v>7.6</v>
      </c>
      <c r="L136">
        <v>80.099999999999994</v>
      </c>
      <c r="M136" t="str" cm="1">
        <f t="array" ref="M136">_xlfn.IFS(D140&lt;=30,"Young",D140&lt;55,"Middle age",D140&gt;54,"Senior")</f>
        <v>Middle age</v>
      </c>
    </row>
    <row r="137" spans="1:13" x14ac:dyDescent="0.25">
      <c r="A137">
        <v>136</v>
      </c>
      <c r="B137" s="1">
        <v>45840.763124999998</v>
      </c>
      <c r="C137" t="s">
        <v>49</v>
      </c>
      <c r="D137">
        <v>34</v>
      </c>
      <c r="E137" t="s">
        <v>16</v>
      </c>
      <c r="F137" t="s">
        <v>17</v>
      </c>
      <c r="G137">
        <v>67</v>
      </c>
      <c r="H137">
        <v>252</v>
      </c>
      <c r="I137">
        <v>87</v>
      </c>
      <c r="J137">
        <v>19470</v>
      </c>
      <c r="K137">
        <v>6.1</v>
      </c>
      <c r="L137">
        <v>89.2</v>
      </c>
      <c r="M137" t="str" cm="1">
        <f t="array" ref="M137">_xlfn.IFS(D141&lt;=30,"Young",D141&lt;55,"Middle age",D141&gt;54,"Senior")</f>
        <v>Middle age</v>
      </c>
    </row>
    <row r="138" spans="1:13" x14ac:dyDescent="0.25">
      <c r="A138">
        <v>137</v>
      </c>
      <c r="B138" s="1">
        <v>45895.538124999999</v>
      </c>
      <c r="C138" t="s">
        <v>56</v>
      </c>
      <c r="D138">
        <v>37</v>
      </c>
      <c r="E138" t="s">
        <v>22</v>
      </c>
      <c r="F138" t="s">
        <v>41</v>
      </c>
      <c r="G138">
        <v>53</v>
      </c>
      <c r="H138">
        <v>202</v>
      </c>
      <c r="I138">
        <v>143</v>
      </c>
      <c r="J138">
        <v>23909</v>
      </c>
      <c r="K138">
        <v>9.5</v>
      </c>
      <c r="L138">
        <v>70.099999999999994</v>
      </c>
      <c r="M138" t="str" cm="1">
        <f t="array" ref="M138">_xlfn.IFS(D142&lt;=30,"Young",D142&lt;55,"Middle age",D142&gt;54,"Senior")</f>
        <v>Young</v>
      </c>
    </row>
    <row r="139" spans="1:13" x14ac:dyDescent="0.25">
      <c r="A139">
        <v>138</v>
      </c>
      <c r="B139" s="1">
        <v>45848.551319444443</v>
      </c>
      <c r="C139" t="s">
        <v>46</v>
      </c>
      <c r="D139">
        <v>45</v>
      </c>
      <c r="E139" t="s">
        <v>22</v>
      </c>
      <c r="F139" t="s">
        <v>27</v>
      </c>
      <c r="G139">
        <v>80</v>
      </c>
      <c r="H139">
        <v>276</v>
      </c>
      <c r="I139">
        <v>63</v>
      </c>
      <c r="J139">
        <v>7633</v>
      </c>
      <c r="K139">
        <v>9</v>
      </c>
      <c r="L139">
        <v>50.9</v>
      </c>
      <c r="M139" t="str" cm="1">
        <f t="array" ref="M139">_xlfn.IFS(D143&lt;=30,"Young",D143&lt;55,"Middle age",D143&gt;54,"Senior")</f>
        <v>Middle age</v>
      </c>
    </row>
    <row r="140" spans="1:13" x14ac:dyDescent="0.25">
      <c r="A140">
        <v>139</v>
      </c>
      <c r="B140" s="1">
        <v>45772.133958333332</v>
      </c>
      <c r="C140" t="s">
        <v>60</v>
      </c>
      <c r="D140">
        <v>39</v>
      </c>
      <c r="E140" t="s">
        <v>13</v>
      </c>
      <c r="F140" t="s">
        <v>17</v>
      </c>
      <c r="G140">
        <v>105</v>
      </c>
      <c r="H140">
        <v>247</v>
      </c>
      <c r="I140">
        <v>82</v>
      </c>
      <c r="J140">
        <v>10733</v>
      </c>
      <c r="K140">
        <v>4</v>
      </c>
      <c r="L140">
        <v>54.4</v>
      </c>
      <c r="M140" t="str" cm="1">
        <f t="array" ref="M140">_xlfn.IFS(D144&lt;=30,"Young",D144&lt;55,"Middle age",D144&gt;54,"Senior")</f>
        <v>Middle age</v>
      </c>
    </row>
    <row r="141" spans="1:13" x14ac:dyDescent="0.25">
      <c r="A141">
        <v>140</v>
      </c>
      <c r="B141" s="1">
        <v>45918.849236111113</v>
      </c>
      <c r="C141" t="s">
        <v>45</v>
      </c>
      <c r="D141">
        <v>37</v>
      </c>
      <c r="E141" t="s">
        <v>22</v>
      </c>
      <c r="F141" t="s">
        <v>23</v>
      </c>
      <c r="G141">
        <v>81</v>
      </c>
      <c r="H141">
        <v>312</v>
      </c>
      <c r="I141">
        <v>141</v>
      </c>
      <c r="J141">
        <v>15794</v>
      </c>
      <c r="K141">
        <v>7.2</v>
      </c>
      <c r="L141">
        <v>67.900000000000006</v>
      </c>
      <c r="M141" t="str" cm="1">
        <f t="array" ref="M141">_xlfn.IFS(D145&lt;=30,"Young",D145&lt;55,"Middle age",D145&gt;54,"Senior")</f>
        <v>Middle age</v>
      </c>
    </row>
    <row r="142" spans="1:13" x14ac:dyDescent="0.25">
      <c r="A142">
        <v>141</v>
      </c>
      <c r="B142" s="1">
        <v>45925.331875000003</v>
      </c>
      <c r="C142" t="s">
        <v>66</v>
      </c>
      <c r="D142">
        <v>22</v>
      </c>
      <c r="E142" t="s">
        <v>22</v>
      </c>
      <c r="F142" t="s">
        <v>41</v>
      </c>
      <c r="G142">
        <v>19</v>
      </c>
      <c r="H142">
        <v>289</v>
      </c>
      <c r="I142">
        <v>127</v>
      </c>
      <c r="J142">
        <v>2487</v>
      </c>
      <c r="K142">
        <v>7.2</v>
      </c>
      <c r="L142">
        <v>64.8</v>
      </c>
      <c r="M142" t="str" cm="1">
        <f t="array" ref="M142">_xlfn.IFS(D146&lt;=30,"Young",D146&lt;55,"Middle age",D146&gt;54,"Senior")</f>
        <v>Senior</v>
      </c>
    </row>
    <row r="143" spans="1:13" x14ac:dyDescent="0.25">
      <c r="A143">
        <v>142</v>
      </c>
      <c r="B143" s="1">
        <v>45815.48951388889</v>
      </c>
      <c r="C143" t="s">
        <v>32</v>
      </c>
      <c r="D143">
        <v>42</v>
      </c>
      <c r="E143" t="s">
        <v>13</v>
      </c>
      <c r="F143" t="s">
        <v>17</v>
      </c>
      <c r="G143">
        <v>16</v>
      </c>
      <c r="H143">
        <v>281</v>
      </c>
      <c r="I143">
        <v>110</v>
      </c>
      <c r="J143">
        <v>3402</v>
      </c>
      <c r="K143">
        <v>7.6</v>
      </c>
      <c r="L143">
        <v>78.5</v>
      </c>
      <c r="M143" t="str" cm="1">
        <f t="array" ref="M143">_xlfn.IFS(D147&lt;=30,"Young",D147&lt;55,"Middle age",D147&gt;54,"Senior")</f>
        <v>Young</v>
      </c>
    </row>
    <row r="144" spans="1:13" x14ac:dyDescent="0.25">
      <c r="A144">
        <v>143</v>
      </c>
      <c r="B144" s="1">
        <v>45805.449930555558</v>
      </c>
      <c r="C144" t="s">
        <v>68</v>
      </c>
      <c r="D144">
        <v>32</v>
      </c>
      <c r="E144" t="s">
        <v>22</v>
      </c>
      <c r="F144" t="s">
        <v>14</v>
      </c>
      <c r="G144">
        <v>57</v>
      </c>
      <c r="H144">
        <v>254</v>
      </c>
      <c r="I144">
        <v>178</v>
      </c>
      <c r="J144">
        <v>6742</v>
      </c>
      <c r="K144">
        <v>7.5</v>
      </c>
      <c r="L144">
        <v>60.9</v>
      </c>
      <c r="M144" t="str" cm="1">
        <f t="array" ref="M144">_xlfn.IFS(D148&lt;=30,"Young",D148&lt;55,"Middle age",D148&gt;54,"Senior")</f>
        <v>Senior</v>
      </c>
    </row>
    <row r="145" spans="1:13" x14ac:dyDescent="0.25">
      <c r="A145">
        <v>144</v>
      </c>
      <c r="B145" s="1">
        <v>45811.988819444443</v>
      </c>
      <c r="C145" t="s">
        <v>56</v>
      </c>
      <c r="D145">
        <v>40</v>
      </c>
      <c r="E145" t="s">
        <v>22</v>
      </c>
      <c r="F145" t="s">
        <v>20</v>
      </c>
      <c r="G145">
        <v>112</v>
      </c>
      <c r="H145">
        <v>170</v>
      </c>
      <c r="I145">
        <v>158</v>
      </c>
      <c r="J145">
        <v>11410</v>
      </c>
      <c r="K145">
        <v>6.1</v>
      </c>
      <c r="L145">
        <v>62.9</v>
      </c>
      <c r="M145" t="str" cm="1">
        <f t="array" ref="M145">_xlfn.IFS(D149&lt;=30,"Young",D149&lt;55,"Middle age",D149&gt;54,"Senior")</f>
        <v>Middle age</v>
      </c>
    </row>
    <row r="146" spans="1:13" x14ac:dyDescent="0.25">
      <c r="A146">
        <v>145</v>
      </c>
      <c r="B146" s="1">
        <v>45847.572152777779</v>
      </c>
      <c r="C146" t="s">
        <v>54</v>
      </c>
      <c r="D146">
        <v>57</v>
      </c>
      <c r="E146" t="s">
        <v>13</v>
      </c>
      <c r="F146" t="s">
        <v>41</v>
      </c>
      <c r="G146">
        <v>104</v>
      </c>
      <c r="H146">
        <v>388</v>
      </c>
      <c r="I146">
        <v>140</v>
      </c>
      <c r="J146">
        <v>4991</v>
      </c>
      <c r="K146">
        <v>8.8000000000000007</v>
      </c>
      <c r="L146">
        <v>82.7</v>
      </c>
      <c r="M146" t="str" cm="1">
        <f t="array" ref="M146">_xlfn.IFS(D150&lt;=30,"Young",D150&lt;55,"Middle age",D150&gt;54,"Senior")</f>
        <v>Senior</v>
      </c>
    </row>
    <row r="147" spans="1:13" x14ac:dyDescent="0.25">
      <c r="A147">
        <v>146</v>
      </c>
      <c r="B147" s="1">
        <v>45776.399930555555</v>
      </c>
      <c r="C147" t="s">
        <v>58</v>
      </c>
      <c r="D147">
        <v>23</v>
      </c>
      <c r="E147" t="s">
        <v>16</v>
      </c>
      <c r="F147" t="s">
        <v>41</v>
      </c>
      <c r="G147">
        <v>112</v>
      </c>
      <c r="H147">
        <v>50</v>
      </c>
      <c r="I147">
        <v>112</v>
      </c>
      <c r="J147">
        <v>9929</v>
      </c>
      <c r="K147">
        <v>3.8</v>
      </c>
      <c r="L147">
        <v>57</v>
      </c>
      <c r="M147" t="str" cm="1">
        <f t="array" ref="M147">_xlfn.IFS(D151&lt;=30,"Young",D151&lt;55,"Middle age",D151&gt;54,"Senior")</f>
        <v>Middle age</v>
      </c>
    </row>
    <row r="148" spans="1:13" x14ac:dyDescent="0.25">
      <c r="A148">
        <v>147</v>
      </c>
      <c r="B148" s="1">
        <v>45776.131180555552</v>
      </c>
      <c r="C148" t="s">
        <v>40</v>
      </c>
      <c r="D148">
        <v>58</v>
      </c>
      <c r="E148" t="s">
        <v>16</v>
      </c>
      <c r="F148" t="s">
        <v>27</v>
      </c>
      <c r="G148">
        <v>114</v>
      </c>
      <c r="H148">
        <v>83</v>
      </c>
      <c r="I148">
        <v>117</v>
      </c>
      <c r="J148">
        <v>2754</v>
      </c>
      <c r="K148">
        <v>6.9</v>
      </c>
      <c r="L148">
        <v>81.2</v>
      </c>
      <c r="M148" t="str" cm="1">
        <f t="array" ref="M148">_xlfn.IFS(D152&lt;=30,"Young",D152&lt;55,"Middle age",D152&gt;54,"Senior")</f>
        <v>Young</v>
      </c>
    </row>
    <row r="149" spans="1:13" x14ac:dyDescent="0.25">
      <c r="A149">
        <v>148</v>
      </c>
      <c r="B149" s="1">
        <v>45891.452013888891</v>
      </c>
      <c r="C149" t="s">
        <v>61</v>
      </c>
      <c r="D149">
        <v>43</v>
      </c>
      <c r="E149" t="s">
        <v>22</v>
      </c>
      <c r="F149" t="s">
        <v>25</v>
      </c>
      <c r="G149">
        <v>46</v>
      </c>
      <c r="H149">
        <v>186</v>
      </c>
      <c r="I149">
        <v>78</v>
      </c>
      <c r="J149">
        <v>8109</v>
      </c>
      <c r="K149">
        <v>4.9000000000000004</v>
      </c>
      <c r="L149">
        <v>54.9</v>
      </c>
      <c r="M149" t="str" cm="1">
        <f t="array" ref="M149">_xlfn.IFS(D153&lt;=30,"Young",D153&lt;55,"Middle age",D153&gt;54,"Senior")</f>
        <v>Senior</v>
      </c>
    </row>
    <row r="150" spans="1:13" x14ac:dyDescent="0.25">
      <c r="A150">
        <v>149</v>
      </c>
      <c r="B150" s="1">
        <v>45797.647152777776</v>
      </c>
      <c r="C150" t="s">
        <v>50</v>
      </c>
      <c r="D150">
        <v>69</v>
      </c>
      <c r="E150" t="s">
        <v>22</v>
      </c>
      <c r="F150" t="s">
        <v>14</v>
      </c>
      <c r="G150">
        <v>75</v>
      </c>
      <c r="H150">
        <v>193</v>
      </c>
      <c r="I150">
        <v>166</v>
      </c>
      <c r="J150">
        <v>10084</v>
      </c>
      <c r="K150">
        <v>7.8</v>
      </c>
      <c r="L150">
        <v>66.099999999999994</v>
      </c>
      <c r="M150" t="str" cm="1">
        <f t="array" ref="M150">_xlfn.IFS(D154&lt;=30,"Young",D154&lt;55,"Middle age",D154&gt;54,"Senior")</f>
        <v>Middle age</v>
      </c>
    </row>
    <row r="151" spans="1:13" x14ac:dyDescent="0.25">
      <c r="A151">
        <v>150</v>
      </c>
      <c r="B151" s="1">
        <v>45901.213819444441</v>
      </c>
      <c r="C151" t="s">
        <v>34</v>
      </c>
      <c r="D151">
        <v>53</v>
      </c>
      <c r="E151" t="s">
        <v>22</v>
      </c>
      <c r="F151" t="s">
        <v>25</v>
      </c>
      <c r="G151">
        <v>79</v>
      </c>
      <c r="H151">
        <v>318</v>
      </c>
      <c r="I151">
        <v>163</v>
      </c>
      <c r="J151">
        <v>18666</v>
      </c>
      <c r="K151">
        <v>6.9</v>
      </c>
      <c r="L151">
        <v>61.9</v>
      </c>
      <c r="M151" t="str" cm="1">
        <f t="array" ref="M151">_xlfn.IFS(D155&lt;=30,"Young",D155&lt;55,"Middle age",D155&gt;54,"Senior")</f>
        <v>Young</v>
      </c>
    </row>
    <row r="152" spans="1:13" x14ac:dyDescent="0.25">
      <c r="A152">
        <v>151</v>
      </c>
      <c r="B152" s="1">
        <v>45946.309652777774</v>
      </c>
      <c r="C152" t="s">
        <v>65</v>
      </c>
      <c r="D152">
        <v>16</v>
      </c>
      <c r="E152" t="s">
        <v>13</v>
      </c>
      <c r="F152" t="s">
        <v>14</v>
      </c>
      <c r="G152">
        <v>103</v>
      </c>
      <c r="H152">
        <v>342</v>
      </c>
      <c r="I152">
        <v>102</v>
      </c>
      <c r="J152">
        <v>16531</v>
      </c>
      <c r="K152">
        <v>7</v>
      </c>
      <c r="L152">
        <v>53.4</v>
      </c>
      <c r="M152" t="str" cm="1">
        <f t="array" ref="M152">_xlfn.IFS(D156&lt;=30,"Young",D156&lt;55,"Middle age",D156&gt;54,"Senior")</f>
        <v>Middle age</v>
      </c>
    </row>
    <row r="153" spans="1:13" x14ac:dyDescent="0.25">
      <c r="A153">
        <v>152</v>
      </c>
      <c r="B153" s="1">
        <v>45835.145069444443</v>
      </c>
      <c r="C153" t="s">
        <v>59</v>
      </c>
      <c r="D153">
        <v>67</v>
      </c>
      <c r="E153" t="s">
        <v>16</v>
      </c>
      <c r="F153" t="s">
        <v>27</v>
      </c>
      <c r="G153">
        <v>13</v>
      </c>
      <c r="H153">
        <v>314</v>
      </c>
      <c r="I153">
        <v>67</v>
      </c>
      <c r="J153">
        <v>16791</v>
      </c>
      <c r="K153">
        <v>5.6</v>
      </c>
      <c r="L153">
        <v>80.7</v>
      </c>
      <c r="M153" t="str" cm="1">
        <f t="array" ref="M153">_xlfn.IFS(D157&lt;=30,"Young",D157&lt;55,"Middle age",D157&gt;54,"Senior")</f>
        <v>Middle age</v>
      </c>
    </row>
    <row r="154" spans="1:13" x14ac:dyDescent="0.25">
      <c r="A154">
        <v>153</v>
      </c>
      <c r="B154" s="1">
        <v>45918.622152777774</v>
      </c>
      <c r="C154" t="s">
        <v>56</v>
      </c>
      <c r="D154">
        <v>36</v>
      </c>
      <c r="E154" t="s">
        <v>22</v>
      </c>
      <c r="F154" t="s">
        <v>20</v>
      </c>
      <c r="G154">
        <v>61</v>
      </c>
      <c r="H154">
        <v>169</v>
      </c>
      <c r="I154">
        <v>149</v>
      </c>
      <c r="J154">
        <v>11757</v>
      </c>
      <c r="K154">
        <v>5.2</v>
      </c>
      <c r="L154">
        <v>55.4</v>
      </c>
      <c r="M154" t="str" cm="1">
        <f t="array" ref="M154">_xlfn.IFS(D158&lt;=30,"Young",D158&lt;55,"Middle age",D158&gt;54,"Senior")</f>
        <v>Middle age</v>
      </c>
    </row>
    <row r="155" spans="1:13" x14ac:dyDescent="0.25">
      <c r="A155">
        <v>154</v>
      </c>
      <c r="B155" s="1">
        <v>45837.322152777779</v>
      </c>
      <c r="C155" t="s">
        <v>64</v>
      </c>
      <c r="D155">
        <v>23</v>
      </c>
      <c r="E155" t="s">
        <v>22</v>
      </c>
      <c r="F155" t="s">
        <v>17</v>
      </c>
      <c r="G155">
        <v>82</v>
      </c>
      <c r="H155">
        <v>281</v>
      </c>
      <c r="I155">
        <v>79</v>
      </c>
      <c r="J155">
        <v>22294</v>
      </c>
      <c r="K155">
        <v>5.9</v>
      </c>
      <c r="L155">
        <v>81.3</v>
      </c>
      <c r="M155" t="str" cm="1">
        <f t="array" ref="M155">_xlfn.IFS(D159&lt;=30,"Young",D159&lt;55,"Middle age",D159&gt;54,"Senior")</f>
        <v>Young</v>
      </c>
    </row>
    <row r="156" spans="1:13" x14ac:dyDescent="0.25">
      <c r="A156">
        <v>155</v>
      </c>
      <c r="B156" s="1">
        <v>45771.781875000001</v>
      </c>
      <c r="C156" t="s">
        <v>68</v>
      </c>
      <c r="D156">
        <v>39</v>
      </c>
      <c r="E156" t="s">
        <v>13</v>
      </c>
      <c r="F156" t="s">
        <v>20</v>
      </c>
      <c r="G156">
        <v>32</v>
      </c>
      <c r="H156">
        <v>275</v>
      </c>
      <c r="I156">
        <v>144</v>
      </c>
      <c r="J156">
        <v>1354</v>
      </c>
      <c r="K156">
        <v>9.1</v>
      </c>
      <c r="L156">
        <v>73.900000000000006</v>
      </c>
      <c r="M156" t="str" cm="1">
        <f t="array" ref="M156">_xlfn.IFS(D160&lt;=30,"Young",D160&lt;55,"Middle age",D160&gt;54,"Senior")</f>
        <v>Senior</v>
      </c>
    </row>
    <row r="157" spans="1:13" x14ac:dyDescent="0.25">
      <c r="A157">
        <v>156</v>
      </c>
      <c r="B157" s="1">
        <v>45875.323541666665</v>
      </c>
      <c r="C157" t="s">
        <v>12</v>
      </c>
      <c r="D157">
        <v>34</v>
      </c>
      <c r="E157" t="s">
        <v>13</v>
      </c>
      <c r="F157" t="s">
        <v>14</v>
      </c>
      <c r="G157">
        <v>118</v>
      </c>
      <c r="H157">
        <v>169</v>
      </c>
      <c r="I157">
        <v>140</v>
      </c>
      <c r="J157">
        <v>18420</v>
      </c>
      <c r="K157">
        <v>6</v>
      </c>
      <c r="L157">
        <v>64.2</v>
      </c>
      <c r="M157" t="str" cm="1">
        <f t="array" ref="M157">_xlfn.IFS(D161&lt;=30,"Young",D161&lt;55,"Middle age",D161&gt;54,"Senior")</f>
        <v>Senior</v>
      </c>
    </row>
    <row r="158" spans="1:13" x14ac:dyDescent="0.25">
      <c r="A158">
        <v>157</v>
      </c>
      <c r="B158" s="1">
        <v>45873.248541666668</v>
      </c>
      <c r="C158" t="s">
        <v>26</v>
      </c>
      <c r="D158">
        <v>33</v>
      </c>
      <c r="E158" t="s">
        <v>22</v>
      </c>
      <c r="F158" t="s">
        <v>17</v>
      </c>
      <c r="G158">
        <v>16</v>
      </c>
      <c r="H158">
        <v>209</v>
      </c>
      <c r="I158">
        <v>111</v>
      </c>
      <c r="J158">
        <v>13085</v>
      </c>
      <c r="K158">
        <v>4.9000000000000004</v>
      </c>
      <c r="L158">
        <v>67.099999999999994</v>
      </c>
      <c r="M158" t="str" cm="1">
        <f t="array" ref="M158">_xlfn.IFS(D162&lt;=30,"Young",D162&lt;55,"Middle age",D162&gt;54,"Senior")</f>
        <v>Middle age</v>
      </c>
    </row>
    <row r="159" spans="1:13" x14ac:dyDescent="0.25">
      <c r="A159">
        <v>158</v>
      </c>
      <c r="B159" s="1">
        <v>45809.966597222221</v>
      </c>
      <c r="C159" t="s">
        <v>31</v>
      </c>
      <c r="D159">
        <v>23</v>
      </c>
      <c r="E159" t="s">
        <v>16</v>
      </c>
      <c r="F159" t="s">
        <v>41</v>
      </c>
      <c r="G159">
        <v>46</v>
      </c>
      <c r="H159">
        <v>279</v>
      </c>
      <c r="I159">
        <v>101</v>
      </c>
      <c r="J159">
        <v>21070</v>
      </c>
      <c r="K159">
        <v>3.2</v>
      </c>
      <c r="L159">
        <v>57.6</v>
      </c>
      <c r="M159" t="str" cm="1">
        <f t="array" ref="M159">_xlfn.IFS(D163&lt;=30,"Young",D163&lt;55,"Middle age",D163&gt;54,"Senior")</f>
        <v>Middle age</v>
      </c>
    </row>
    <row r="160" spans="1:13" x14ac:dyDescent="0.25">
      <c r="A160">
        <v>159</v>
      </c>
      <c r="B160" s="1">
        <v>45785.898541666669</v>
      </c>
      <c r="C160" t="s">
        <v>44</v>
      </c>
      <c r="D160">
        <v>60</v>
      </c>
      <c r="E160" t="s">
        <v>13</v>
      </c>
      <c r="F160" t="s">
        <v>20</v>
      </c>
      <c r="G160">
        <v>115</v>
      </c>
      <c r="H160">
        <v>308</v>
      </c>
      <c r="I160">
        <v>116</v>
      </c>
      <c r="J160">
        <v>15851</v>
      </c>
      <c r="K160">
        <v>6.7</v>
      </c>
      <c r="L160">
        <v>98.3</v>
      </c>
      <c r="M160" t="str" cm="1">
        <f t="array" ref="M160">_xlfn.IFS(D164&lt;=30,"Young",D164&lt;55,"Middle age",D164&gt;54,"Senior")</f>
        <v>Middle age</v>
      </c>
    </row>
    <row r="161" spans="1:13" x14ac:dyDescent="0.25">
      <c r="A161">
        <v>160</v>
      </c>
      <c r="B161" s="1">
        <v>45860.745069444441</v>
      </c>
      <c r="C161" t="s">
        <v>67</v>
      </c>
      <c r="D161">
        <v>64</v>
      </c>
      <c r="E161" t="s">
        <v>16</v>
      </c>
      <c r="F161" t="s">
        <v>25</v>
      </c>
      <c r="G161">
        <v>51</v>
      </c>
      <c r="H161">
        <v>318</v>
      </c>
      <c r="I161">
        <v>68</v>
      </c>
      <c r="J161">
        <v>11677</v>
      </c>
      <c r="K161">
        <v>8.8000000000000007</v>
      </c>
      <c r="L161">
        <v>62.5</v>
      </c>
      <c r="M161" t="str" cm="1">
        <f t="array" ref="M161">_xlfn.IFS(D165&lt;=30,"Young",D165&lt;55,"Middle age",D165&gt;54,"Senior")</f>
        <v>Middle age</v>
      </c>
    </row>
    <row r="162" spans="1:13" x14ac:dyDescent="0.25">
      <c r="A162">
        <v>161</v>
      </c>
      <c r="B162" s="1">
        <v>45878.804097222222</v>
      </c>
      <c r="C162" t="s">
        <v>58</v>
      </c>
      <c r="D162">
        <v>34</v>
      </c>
      <c r="E162" t="s">
        <v>13</v>
      </c>
      <c r="F162" t="s">
        <v>25</v>
      </c>
      <c r="G162">
        <v>18</v>
      </c>
      <c r="H162">
        <v>391</v>
      </c>
      <c r="I162">
        <v>115</v>
      </c>
      <c r="J162">
        <v>16758</v>
      </c>
      <c r="K162">
        <v>3.6</v>
      </c>
      <c r="L162">
        <v>52.9</v>
      </c>
      <c r="M162" t="str" cm="1">
        <f t="array" ref="M162">_xlfn.IFS(D166&lt;=30,"Young",D166&lt;55,"Middle age",D166&gt;54,"Senior")</f>
        <v>Middle age</v>
      </c>
    </row>
    <row r="163" spans="1:13" x14ac:dyDescent="0.25">
      <c r="A163">
        <v>162</v>
      </c>
      <c r="B163" s="1">
        <v>45892.817291666666</v>
      </c>
      <c r="C163" t="s">
        <v>30</v>
      </c>
      <c r="D163">
        <v>48</v>
      </c>
      <c r="E163" t="s">
        <v>22</v>
      </c>
      <c r="F163" t="s">
        <v>20</v>
      </c>
      <c r="G163">
        <v>6</v>
      </c>
      <c r="H163">
        <v>333</v>
      </c>
      <c r="I163">
        <v>102</v>
      </c>
      <c r="J163">
        <v>5521</v>
      </c>
      <c r="K163">
        <v>5.3</v>
      </c>
      <c r="L163">
        <v>72.3</v>
      </c>
      <c r="M163" t="str" cm="1">
        <f t="array" ref="M163">_xlfn.IFS(D167&lt;=30,"Young",D167&lt;55,"Middle age",D167&gt;54,"Senior")</f>
        <v>Senior</v>
      </c>
    </row>
    <row r="164" spans="1:13" x14ac:dyDescent="0.25">
      <c r="A164">
        <v>163</v>
      </c>
      <c r="B164" s="1">
        <v>45895.095763888887</v>
      </c>
      <c r="C164" t="s">
        <v>46</v>
      </c>
      <c r="D164">
        <v>48</v>
      </c>
      <c r="E164" t="s">
        <v>22</v>
      </c>
      <c r="F164" t="s">
        <v>17</v>
      </c>
      <c r="G164">
        <v>95</v>
      </c>
      <c r="H164">
        <v>339</v>
      </c>
      <c r="I164">
        <v>155</v>
      </c>
      <c r="J164">
        <v>24819</v>
      </c>
      <c r="K164">
        <v>8.1</v>
      </c>
      <c r="L164">
        <v>82.7</v>
      </c>
      <c r="M164" t="str" cm="1">
        <f t="array" ref="M164">_xlfn.IFS(D168&lt;=30,"Young",D168&lt;55,"Middle age",D168&gt;54,"Senior")</f>
        <v>Middle age</v>
      </c>
    </row>
    <row r="165" spans="1:13" x14ac:dyDescent="0.25">
      <c r="A165">
        <v>164</v>
      </c>
      <c r="B165" s="1">
        <v>45902.461736111109</v>
      </c>
      <c r="C165" t="s">
        <v>26</v>
      </c>
      <c r="D165">
        <v>42</v>
      </c>
      <c r="E165" t="s">
        <v>13</v>
      </c>
      <c r="F165" t="s">
        <v>17</v>
      </c>
      <c r="G165">
        <v>71</v>
      </c>
      <c r="H165">
        <v>235</v>
      </c>
      <c r="I165">
        <v>163</v>
      </c>
      <c r="J165">
        <v>22904</v>
      </c>
      <c r="K165">
        <v>3</v>
      </c>
      <c r="L165">
        <v>81.900000000000006</v>
      </c>
      <c r="M165" t="str" cm="1">
        <f t="array" ref="M165">_xlfn.IFS(D169&lt;=30,"Young",D169&lt;55,"Middle age",D169&gt;54,"Senior")</f>
        <v>Middle age</v>
      </c>
    </row>
    <row r="166" spans="1:13" x14ac:dyDescent="0.25">
      <c r="A166">
        <v>165</v>
      </c>
      <c r="B166" s="1">
        <v>45785.724236111113</v>
      </c>
      <c r="C166" t="s">
        <v>65</v>
      </c>
      <c r="D166">
        <v>42</v>
      </c>
      <c r="E166" t="s">
        <v>22</v>
      </c>
      <c r="F166" t="s">
        <v>41</v>
      </c>
      <c r="G166">
        <v>108</v>
      </c>
      <c r="H166">
        <v>316</v>
      </c>
      <c r="I166">
        <v>162</v>
      </c>
      <c r="J166">
        <v>10795</v>
      </c>
      <c r="K166">
        <v>6.3</v>
      </c>
      <c r="L166">
        <v>53.2</v>
      </c>
      <c r="M166" t="str" cm="1">
        <f t="array" ref="M166">_xlfn.IFS(D170&lt;=30,"Young",D170&lt;55,"Middle age",D170&gt;54,"Senior")</f>
        <v>Middle age</v>
      </c>
    </row>
    <row r="167" spans="1:13" x14ac:dyDescent="0.25">
      <c r="A167">
        <v>166</v>
      </c>
      <c r="B167" s="1">
        <v>45946.538819444446</v>
      </c>
      <c r="C167" t="s">
        <v>36</v>
      </c>
      <c r="D167">
        <v>63</v>
      </c>
      <c r="E167" t="s">
        <v>16</v>
      </c>
      <c r="F167" t="s">
        <v>41</v>
      </c>
      <c r="G167">
        <v>93</v>
      </c>
      <c r="H167">
        <v>348</v>
      </c>
      <c r="I167">
        <v>107</v>
      </c>
      <c r="J167">
        <v>8636</v>
      </c>
      <c r="K167">
        <v>4.8</v>
      </c>
      <c r="L167">
        <v>95.4</v>
      </c>
      <c r="M167" t="str" cm="1">
        <f t="array" ref="M167">_xlfn.IFS(D171&lt;=30,"Young",D171&lt;55,"Middle age",D171&gt;54,"Senior")</f>
        <v>Middle age</v>
      </c>
    </row>
    <row r="168" spans="1:13" x14ac:dyDescent="0.25">
      <c r="A168">
        <v>167</v>
      </c>
      <c r="B168" s="1">
        <v>45928.938819444447</v>
      </c>
      <c r="C168" t="s">
        <v>46</v>
      </c>
      <c r="D168">
        <v>52</v>
      </c>
      <c r="E168" t="s">
        <v>22</v>
      </c>
      <c r="F168" t="s">
        <v>27</v>
      </c>
      <c r="G168">
        <v>66</v>
      </c>
      <c r="H168">
        <v>468</v>
      </c>
      <c r="I168">
        <v>140</v>
      </c>
      <c r="J168">
        <v>12933</v>
      </c>
      <c r="K168">
        <v>7.9</v>
      </c>
      <c r="L168">
        <v>85.8</v>
      </c>
      <c r="M168" t="str" cm="1">
        <f t="array" ref="M168">_xlfn.IFS(D172&lt;=30,"Young",D172&lt;55,"Middle age",D172&gt;54,"Senior")</f>
        <v>Middle age</v>
      </c>
    </row>
    <row r="169" spans="1:13" x14ac:dyDescent="0.25">
      <c r="A169">
        <v>168</v>
      </c>
      <c r="B169" s="1">
        <v>45882.514513888891</v>
      </c>
      <c r="C169" t="s">
        <v>34</v>
      </c>
      <c r="D169">
        <v>44</v>
      </c>
      <c r="E169" t="s">
        <v>13</v>
      </c>
      <c r="F169" t="s">
        <v>14</v>
      </c>
      <c r="G169">
        <v>77</v>
      </c>
      <c r="H169">
        <v>264</v>
      </c>
      <c r="I169">
        <v>153</v>
      </c>
      <c r="J169">
        <v>13874</v>
      </c>
      <c r="K169">
        <v>4.2</v>
      </c>
      <c r="L169">
        <v>72.8</v>
      </c>
      <c r="M169" t="str" cm="1">
        <f t="array" ref="M169">_xlfn.IFS(D173&lt;=30,"Young",D173&lt;55,"Middle age",D173&gt;54,"Senior")</f>
        <v>Middle age</v>
      </c>
    </row>
    <row r="170" spans="1:13" x14ac:dyDescent="0.25">
      <c r="A170">
        <v>169</v>
      </c>
      <c r="B170" s="1">
        <v>45824.812430555554</v>
      </c>
      <c r="C170" t="s">
        <v>26</v>
      </c>
      <c r="D170">
        <v>34</v>
      </c>
      <c r="E170" t="s">
        <v>22</v>
      </c>
      <c r="F170" t="s">
        <v>25</v>
      </c>
      <c r="G170">
        <v>94</v>
      </c>
      <c r="H170">
        <v>462</v>
      </c>
      <c r="I170">
        <v>173</v>
      </c>
      <c r="J170">
        <v>19741</v>
      </c>
      <c r="K170">
        <v>3.3</v>
      </c>
      <c r="L170">
        <v>78.599999999999994</v>
      </c>
      <c r="M170" t="str" cm="1">
        <f t="array" ref="M170">_xlfn.IFS(D174&lt;=30,"Young",D174&lt;55,"Middle age",D174&gt;54,"Senior")</f>
        <v>Senior</v>
      </c>
    </row>
    <row r="171" spans="1:13" x14ac:dyDescent="0.25">
      <c r="A171">
        <v>170</v>
      </c>
      <c r="B171" s="1">
        <v>45858.615902777776</v>
      </c>
      <c r="C171" t="s">
        <v>12</v>
      </c>
      <c r="D171">
        <v>50</v>
      </c>
      <c r="E171" t="s">
        <v>13</v>
      </c>
      <c r="F171" t="s">
        <v>41</v>
      </c>
      <c r="G171">
        <v>18</v>
      </c>
      <c r="H171">
        <v>237</v>
      </c>
      <c r="I171">
        <v>80</v>
      </c>
      <c r="J171">
        <v>23838</v>
      </c>
      <c r="K171">
        <v>9.4</v>
      </c>
      <c r="L171">
        <v>45.3</v>
      </c>
      <c r="M171" t="str" cm="1">
        <f t="array" ref="M171">_xlfn.IFS(D175&lt;=30,"Young",D175&lt;55,"Middle age",D175&gt;54,"Senior")</f>
        <v>Young</v>
      </c>
    </row>
    <row r="172" spans="1:13" x14ac:dyDescent="0.25">
      <c r="A172">
        <v>171</v>
      </c>
      <c r="B172" s="1">
        <v>45945.771458333336</v>
      </c>
      <c r="C172" t="s">
        <v>28</v>
      </c>
      <c r="D172">
        <v>40</v>
      </c>
      <c r="E172" t="s">
        <v>13</v>
      </c>
      <c r="F172" t="s">
        <v>23</v>
      </c>
      <c r="G172">
        <v>33</v>
      </c>
      <c r="H172">
        <v>160</v>
      </c>
      <c r="I172">
        <v>143</v>
      </c>
      <c r="J172">
        <v>8970</v>
      </c>
      <c r="K172">
        <v>4.2</v>
      </c>
      <c r="L172">
        <v>79.400000000000006</v>
      </c>
      <c r="M172" t="str" cm="1">
        <f t="array" ref="M172">_xlfn.IFS(D176&lt;=30,"Young",D176&lt;55,"Middle age",D176&gt;54,"Senior")</f>
        <v>Middle age</v>
      </c>
    </row>
    <row r="173" spans="1:13" x14ac:dyDescent="0.25">
      <c r="A173">
        <v>172</v>
      </c>
      <c r="B173" s="1">
        <v>45784.188819444447</v>
      </c>
      <c r="C173" t="s">
        <v>33</v>
      </c>
      <c r="D173">
        <v>42</v>
      </c>
      <c r="E173" t="s">
        <v>13</v>
      </c>
      <c r="F173" t="s">
        <v>14</v>
      </c>
      <c r="G173">
        <v>15</v>
      </c>
      <c r="H173">
        <v>50</v>
      </c>
      <c r="I173">
        <v>162</v>
      </c>
      <c r="J173">
        <v>15138</v>
      </c>
      <c r="K173">
        <v>8.1999999999999993</v>
      </c>
      <c r="L173">
        <v>48.1</v>
      </c>
      <c r="M173" t="str" cm="1">
        <f t="array" ref="M173">_xlfn.IFS(D177&lt;=30,"Young",D177&lt;55,"Middle age",D177&gt;54,"Senior")</f>
        <v>Senior</v>
      </c>
    </row>
    <row r="174" spans="1:13" x14ac:dyDescent="0.25">
      <c r="A174">
        <v>173</v>
      </c>
      <c r="B174" s="1">
        <v>45895.195763888885</v>
      </c>
      <c r="C174" t="s">
        <v>39</v>
      </c>
      <c r="D174">
        <v>62</v>
      </c>
      <c r="E174" t="s">
        <v>16</v>
      </c>
      <c r="F174" t="s">
        <v>17</v>
      </c>
      <c r="G174">
        <v>22</v>
      </c>
      <c r="H174">
        <v>114</v>
      </c>
      <c r="I174">
        <v>163</v>
      </c>
      <c r="J174">
        <v>14068</v>
      </c>
      <c r="K174">
        <v>3.8</v>
      </c>
      <c r="L174">
        <v>63.3</v>
      </c>
      <c r="M174" t="str" cm="1">
        <f t="array" ref="M174">_xlfn.IFS(D178&lt;=30,"Young",D178&lt;55,"Middle age",D178&gt;54,"Senior")</f>
        <v>Middle age</v>
      </c>
    </row>
    <row r="175" spans="1:13" x14ac:dyDescent="0.25">
      <c r="A175">
        <v>174</v>
      </c>
      <c r="B175" s="1">
        <v>45867.720763888887</v>
      </c>
      <c r="C175" t="s">
        <v>45</v>
      </c>
      <c r="D175">
        <v>29</v>
      </c>
      <c r="E175" t="s">
        <v>22</v>
      </c>
      <c r="F175" t="s">
        <v>14</v>
      </c>
      <c r="G175">
        <v>84</v>
      </c>
      <c r="H175">
        <v>209</v>
      </c>
      <c r="I175">
        <v>135</v>
      </c>
      <c r="J175">
        <v>16733</v>
      </c>
      <c r="K175">
        <v>3.4</v>
      </c>
      <c r="L175">
        <v>81.900000000000006</v>
      </c>
      <c r="M175" t="str" cm="1">
        <f t="array" ref="M175">_xlfn.IFS(D179&lt;=30,"Young",D179&lt;55,"Middle age",D179&gt;54,"Senior")</f>
        <v>Young</v>
      </c>
    </row>
    <row r="176" spans="1:13" x14ac:dyDescent="0.25">
      <c r="A176">
        <v>175</v>
      </c>
      <c r="B176" s="1">
        <v>45875.216597222221</v>
      </c>
      <c r="C176" t="s">
        <v>42</v>
      </c>
      <c r="D176">
        <v>31</v>
      </c>
      <c r="E176" t="s">
        <v>16</v>
      </c>
      <c r="F176" t="s">
        <v>25</v>
      </c>
      <c r="G176">
        <v>98</v>
      </c>
      <c r="H176">
        <v>387</v>
      </c>
      <c r="I176">
        <v>128</v>
      </c>
      <c r="J176">
        <v>22336</v>
      </c>
      <c r="K176">
        <v>6.3</v>
      </c>
      <c r="L176">
        <v>91.6</v>
      </c>
      <c r="M176" t="str" cm="1">
        <f t="array" ref="M176">_xlfn.IFS(D180&lt;=30,"Young",D180&lt;55,"Middle age",D180&gt;54,"Senior")</f>
        <v>Senior</v>
      </c>
    </row>
    <row r="177" spans="1:13" x14ac:dyDescent="0.25">
      <c r="A177">
        <v>176</v>
      </c>
      <c r="B177" s="1">
        <v>45915.521458333336</v>
      </c>
      <c r="C177" t="s">
        <v>57</v>
      </c>
      <c r="D177">
        <v>58</v>
      </c>
      <c r="E177" t="s">
        <v>16</v>
      </c>
      <c r="F177" t="s">
        <v>17</v>
      </c>
      <c r="G177">
        <v>53</v>
      </c>
      <c r="H177">
        <v>236</v>
      </c>
      <c r="I177">
        <v>82</v>
      </c>
      <c r="J177">
        <v>9498</v>
      </c>
      <c r="K177">
        <v>5.4</v>
      </c>
      <c r="L177">
        <v>59.3</v>
      </c>
      <c r="M177" t="str" cm="1">
        <f t="array" ref="M177">_xlfn.IFS(D181&lt;=30,"Young",D181&lt;55,"Middle age",D181&gt;54,"Senior")</f>
        <v>Young</v>
      </c>
    </row>
    <row r="178" spans="1:13" x14ac:dyDescent="0.25">
      <c r="A178">
        <v>177</v>
      </c>
      <c r="B178" s="1">
        <v>45892.496458333335</v>
      </c>
      <c r="C178" t="s">
        <v>36</v>
      </c>
      <c r="D178">
        <v>43</v>
      </c>
      <c r="E178" t="s">
        <v>16</v>
      </c>
      <c r="F178" t="s">
        <v>17</v>
      </c>
      <c r="G178">
        <v>96</v>
      </c>
      <c r="H178">
        <v>67</v>
      </c>
      <c r="I178">
        <v>149</v>
      </c>
      <c r="J178">
        <v>21295</v>
      </c>
      <c r="K178">
        <v>9.4</v>
      </c>
      <c r="L178">
        <v>87</v>
      </c>
      <c r="M178" t="str" cm="1">
        <f t="array" ref="M178">_xlfn.IFS(D182&lt;=30,"Young",D182&lt;55,"Middle age",D182&gt;54,"Senior")</f>
        <v>Young</v>
      </c>
    </row>
    <row r="179" spans="1:13" x14ac:dyDescent="0.25">
      <c r="A179">
        <v>178</v>
      </c>
      <c r="B179" s="1">
        <v>45866.672152777777</v>
      </c>
      <c r="C179" t="s">
        <v>32</v>
      </c>
      <c r="D179">
        <v>23</v>
      </c>
      <c r="E179" t="s">
        <v>22</v>
      </c>
      <c r="F179" t="s">
        <v>27</v>
      </c>
      <c r="G179">
        <v>18</v>
      </c>
      <c r="H179">
        <v>325</v>
      </c>
      <c r="I179">
        <v>76</v>
      </c>
      <c r="J179">
        <v>19575</v>
      </c>
      <c r="K179">
        <v>9.4</v>
      </c>
      <c r="L179">
        <v>80.099999999999994</v>
      </c>
      <c r="M179" t="str" cm="1">
        <f t="array" ref="M179">_xlfn.IFS(D183&lt;=30,"Young",D183&lt;55,"Middle age",D183&gt;54,"Senior")</f>
        <v>Middle age</v>
      </c>
    </row>
    <row r="180" spans="1:13" x14ac:dyDescent="0.25">
      <c r="A180">
        <v>179</v>
      </c>
      <c r="B180" s="1">
        <v>45932.204097222224</v>
      </c>
      <c r="C180" t="s">
        <v>51</v>
      </c>
      <c r="D180">
        <v>68</v>
      </c>
      <c r="E180" t="s">
        <v>16</v>
      </c>
      <c r="F180" t="s">
        <v>23</v>
      </c>
      <c r="G180">
        <v>70</v>
      </c>
      <c r="H180">
        <v>151</v>
      </c>
      <c r="I180">
        <v>108</v>
      </c>
      <c r="J180">
        <v>12397</v>
      </c>
      <c r="K180">
        <v>7.6</v>
      </c>
      <c r="L180">
        <v>96.3</v>
      </c>
      <c r="M180" t="str" cm="1">
        <f t="array" ref="M180">_xlfn.IFS(D184&lt;=30,"Young",D184&lt;55,"Middle age",D184&gt;54,"Senior")</f>
        <v>Senior</v>
      </c>
    </row>
    <row r="181" spans="1:13" x14ac:dyDescent="0.25">
      <c r="A181">
        <v>180</v>
      </c>
      <c r="B181" s="1">
        <v>45926.463819444441</v>
      </c>
      <c r="C181" t="s">
        <v>50</v>
      </c>
      <c r="D181">
        <v>20</v>
      </c>
      <c r="E181" t="s">
        <v>16</v>
      </c>
      <c r="F181" t="s">
        <v>23</v>
      </c>
      <c r="G181">
        <v>26</v>
      </c>
      <c r="H181">
        <v>376</v>
      </c>
      <c r="I181">
        <v>150</v>
      </c>
      <c r="J181">
        <v>20748</v>
      </c>
      <c r="K181">
        <v>3.7</v>
      </c>
      <c r="L181">
        <v>69.2</v>
      </c>
      <c r="M181" t="str" cm="1">
        <f t="array" ref="M181">_xlfn.IFS(D185&lt;=30,"Young",D185&lt;55,"Middle age",D185&gt;54,"Senior")</f>
        <v>Middle age</v>
      </c>
    </row>
    <row r="182" spans="1:13" x14ac:dyDescent="0.25">
      <c r="A182">
        <v>181</v>
      </c>
      <c r="B182" s="1">
        <v>45810.081180555557</v>
      </c>
      <c r="C182" t="s">
        <v>32</v>
      </c>
      <c r="D182">
        <v>17</v>
      </c>
      <c r="E182" t="s">
        <v>16</v>
      </c>
      <c r="F182" t="s">
        <v>25</v>
      </c>
      <c r="G182">
        <v>13</v>
      </c>
      <c r="H182">
        <v>326</v>
      </c>
      <c r="I182">
        <v>159</v>
      </c>
      <c r="J182">
        <v>960</v>
      </c>
      <c r="K182">
        <v>4.9000000000000004</v>
      </c>
      <c r="L182">
        <v>62.4</v>
      </c>
      <c r="M182" t="str" cm="1">
        <f t="array" ref="M182">_xlfn.IFS(D186&lt;=30,"Young",D186&lt;55,"Middle age",D186&gt;54,"Senior")</f>
        <v>Senior</v>
      </c>
    </row>
    <row r="183" spans="1:13" x14ac:dyDescent="0.25">
      <c r="A183">
        <v>182</v>
      </c>
      <c r="B183" s="1">
        <v>45812.688819444447</v>
      </c>
      <c r="C183" t="s">
        <v>46</v>
      </c>
      <c r="D183">
        <v>45</v>
      </c>
      <c r="E183" t="s">
        <v>16</v>
      </c>
      <c r="F183" t="s">
        <v>20</v>
      </c>
      <c r="G183">
        <v>54</v>
      </c>
      <c r="H183">
        <v>365</v>
      </c>
      <c r="I183">
        <v>125</v>
      </c>
      <c r="J183">
        <v>15014</v>
      </c>
      <c r="K183">
        <v>7.7</v>
      </c>
      <c r="L183">
        <v>48.3</v>
      </c>
      <c r="M183" t="str" cm="1">
        <f t="array" ref="M183">_xlfn.IFS(D187&lt;=30,"Young",D187&lt;55,"Middle age",D187&gt;54,"Senior")</f>
        <v>Young</v>
      </c>
    </row>
    <row r="184" spans="1:13" x14ac:dyDescent="0.25">
      <c r="A184">
        <v>183</v>
      </c>
      <c r="B184" s="1">
        <v>45835.053402777776</v>
      </c>
      <c r="C184" t="s">
        <v>62</v>
      </c>
      <c r="D184">
        <v>69</v>
      </c>
      <c r="E184" t="s">
        <v>22</v>
      </c>
      <c r="F184" t="s">
        <v>27</v>
      </c>
      <c r="G184">
        <v>22</v>
      </c>
      <c r="H184">
        <v>369</v>
      </c>
      <c r="I184">
        <v>106</v>
      </c>
      <c r="J184">
        <v>14396</v>
      </c>
      <c r="K184">
        <v>6.6</v>
      </c>
      <c r="L184">
        <v>65.7</v>
      </c>
      <c r="M184" t="str" cm="1">
        <f t="array" ref="M184">_xlfn.IFS(D188&lt;=30,"Young",D188&lt;55,"Middle age",D188&gt;54,"Senior")</f>
        <v>Middle age</v>
      </c>
    </row>
    <row r="185" spans="1:13" x14ac:dyDescent="0.25">
      <c r="A185">
        <v>184</v>
      </c>
      <c r="B185" s="1">
        <v>45782.497152777774</v>
      </c>
      <c r="C185" t="s">
        <v>12</v>
      </c>
      <c r="D185">
        <v>31</v>
      </c>
      <c r="E185" t="s">
        <v>22</v>
      </c>
      <c r="F185" t="s">
        <v>14</v>
      </c>
      <c r="G185">
        <v>90</v>
      </c>
      <c r="H185">
        <v>187</v>
      </c>
      <c r="I185">
        <v>136</v>
      </c>
      <c r="J185">
        <v>22910</v>
      </c>
      <c r="K185">
        <v>3.6</v>
      </c>
      <c r="L185">
        <v>57.1</v>
      </c>
      <c r="M185" t="str" cm="1">
        <f t="array" ref="M185">_xlfn.IFS(D189&lt;=30,"Young",D189&lt;55,"Middle age",D189&gt;54,"Senior")</f>
        <v>Senior</v>
      </c>
    </row>
    <row r="186" spans="1:13" x14ac:dyDescent="0.25">
      <c r="A186">
        <v>185</v>
      </c>
      <c r="B186" s="1">
        <v>45922.019375000003</v>
      </c>
      <c r="C186" t="s">
        <v>57</v>
      </c>
      <c r="D186">
        <v>68</v>
      </c>
      <c r="E186" t="s">
        <v>13</v>
      </c>
      <c r="F186" t="s">
        <v>23</v>
      </c>
      <c r="G186">
        <v>95</v>
      </c>
      <c r="H186">
        <v>362</v>
      </c>
      <c r="I186">
        <v>165</v>
      </c>
      <c r="J186">
        <v>8877</v>
      </c>
      <c r="K186">
        <v>6.1</v>
      </c>
      <c r="L186">
        <v>47.9</v>
      </c>
      <c r="M186" t="str" cm="1">
        <f t="array" ref="M186">_xlfn.IFS(D190&lt;=30,"Young",D190&lt;55,"Middle age",D190&gt;54,"Senior")</f>
        <v>Middle age</v>
      </c>
    </row>
    <row r="187" spans="1:13" x14ac:dyDescent="0.25">
      <c r="A187">
        <v>186</v>
      </c>
      <c r="B187" s="1">
        <v>45885.050625000003</v>
      </c>
      <c r="C187" t="s">
        <v>63</v>
      </c>
      <c r="D187">
        <v>16</v>
      </c>
      <c r="E187" t="s">
        <v>13</v>
      </c>
      <c r="F187" t="s">
        <v>23</v>
      </c>
      <c r="G187">
        <v>13</v>
      </c>
      <c r="H187">
        <v>312</v>
      </c>
      <c r="I187">
        <v>85</v>
      </c>
      <c r="J187">
        <v>3126</v>
      </c>
      <c r="K187">
        <v>5.9</v>
      </c>
      <c r="L187">
        <v>66.2</v>
      </c>
      <c r="M187" t="str" cm="1">
        <f t="array" ref="M187">_xlfn.IFS(D191&lt;=30,"Young",D191&lt;55,"Middle age",D191&gt;54,"Senior")</f>
        <v>Middle age</v>
      </c>
    </row>
    <row r="188" spans="1:13" x14ac:dyDescent="0.25">
      <c r="A188">
        <v>187</v>
      </c>
      <c r="B188" s="1">
        <v>45846.914513888885</v>
      </c>
      <c r="C188" t="s">
        <v>48</v>
      </c>
      <c r="D188">
        <v>39</v>
      </c>
      <c r="E188" t="s">
        <v>13</v>
      </c>
      <c r="F188" t="s">
        <v>27</v>
      </c>
      <c r="G188">
        <v>105</v>
      </c>
      <c r="H188">
        <v>269</v>
      </c>
      <c r="I188">
        <v>111</v>
      </c>
      <c r="J188">
        <v>22972</v>
      </c>
      <c r="K188">
        <v>5.5</v>
      </c>
      <c r="L188">
        <v>59</v>
      </c>
      <c r="M188" t="str" cm="1">
        <f t="array" ref="M188">_xlfn.IFS(D192&lt;=30,"Young",D192&lt;55,"Middle age",D192&gt;54,"Senior")</f>
        <v>Senior</v>
      </c>
    </row>
    <row r="189" spans="1:13" x14ac:dyDescent="0.25">
      <c r="A189">
        <v>188</v>
      </c>
      <c r="B189" s="1">
        <v>45860.903402777774</v>
      </c>
      <c r="C189" t="s">
        <v>65</v>
      </c>
      <c r="D189">
        <v>69</v>
      </c>
      <c r="E189" t="s">
        <v>13</v>
      </c>
      <c r="F189" t="s">
        <v>17</v>
      </c>
      <c r="G189">
        <v>112</v>
      </c>
      <c r="H189">
        <v>335</v>
      </c>
      <c r="I189">
        <v>86</v>
      </c>
      <c r="J189">
        <v>17624</v>
      </c>
      <c r="K189">
        <v>8.3000000000000007</v>
      </c>
      <c r="L189">
        <v>76.900000000000006</v>
      </c>
      <c r="M189" t="str" cm="1">
        <f t="array" ref="M189">_xlfn.IFS(D193&lt;=30,"Young",D193&lt;55,"Middle age",D193&gt;54,"Senior")</f>
        <v>Middle age</v>
      </c>
    </row>
    <row r="190" spans="1:13" x14ac:dyDescent="0.25">
      <c r="A190">
        <v>189</v>
      </c>
      <c r="B190" s="1">
        <v>45888.426319444443</v>
      </c>
      <c r="C190" t="s">
        <v>48</v>
      </c>
      <c r="D190">
        <v>34</v>
      </c>
      <c r="E190" t="s">
        <v>16</v>
      </c>
      <c r="F190" t="s">
        <v>23</v>
      </c>
      <c r="G190">
        <v>112</v>
      </c>
      <c r="H190">
        <v>311</v>
      </c>
      <c r="I190">
        <v>163</v>
      </c>
      <c r="J190">
        <v>11583</v>
      </c>
      <c r="K190">
        <v>4.7</v>
      </c>
      <c r="L190">
        <v>71.7</v>
      </c>
      <c r="M190" t="str" cm="1">
        <f t="array" ref="M190">_xlfn.IFS(D194&lt;=30,"Young",D194&lt;55,"Middle age",D194&gt;54,"Senior")</f>
        <v>Senior</v>
      </c>
    </row>
    <row r="191" spans="1:13" x14ac:dyDescent="0.25">
      <c r="A191">
        <v>190</v>
      </c>
      <c r="B191" s="1">
        <v>45932.376319444447</v>
      </c>
      <c r="C191" t="s">
        <v>66</v>
      </c>
      <c r="D191">
        <v>53</v>
      </c>
      <c r="E191" t="s">
        <v>13</v>
      </c>
      <c r="F191" t="s">
        <v>23</v>
      </c>
      <c r="G191">
        <v>100</v>
      </c>
      <c r="H191">
        <v>381</v>
      </c>
      <c r="I191">
        <v>127</v>
      </c>
      <c r="J191">
        <v>10074</v>
      </c>
      <c r="K191">
        <v>6</v>
      </c>
      <c r="L191">
        <v>90.3</v>
      </c>
      <c r="M191" t="str" cm="1">
        <f t="array" ref="M191">_xlfn.IFS(D195&lt;=30,"Young",D195&lt;55,"Middle age",D195&gt;54,"Senior")</f>
        <v>Young</v>
      </c>
    </row>
    <row r="192" spans="1:13" x14ac:dyDescent="0.25">
      <c r="A192">
        <v>191</v>
      </c>
      <c r="B192" s="1">
        <v>45823.924930555557</v>
      </c>
      <c r="C192" t="s">
        <v>37</v>
      </c>
      <c r="D192">
        <v>60</v>
      </c>
      <c r="E192" t="s">
        <v>16</v>
      </c>
      <c r="F192" t="s">
        <v>23</v>
      </c>
      <c r="G192">
        <v>95</v>
      </c>
      <c r="H192">
        <v>302</v>
      </c>
      <c r="I192">
        <v>115</v>
      </c>
      <c r="J192">
        <v>12602</v>
      </c>
      <c r="K192">
        <v>4.2</v>
      </c>
      <c r="L192">
        <v>67.8</v>
      </c>
      <c r="M192" t="str" cm="1">
        <f t="array" ref="M192">_xlfn.IFS(D196&lt;=30,"Young",D196&lt;55,"Middle age",D196&gt;54,"Senior")</f>
        <v>Senior</v>
      </c>
    </row>
    <row r="193" spans="1:13" x14ac:dyDescent="0.25">
      <c r="A193">
        <v>192</v>
      </c>
      <c r="B193" s="1">
        <v>45777.329791666663</v>
      </c>
      <c r="C193" t="s">
        <v>39</v>
      </c>
      <c r="D193">
        <v>54</v>
      </c>
      <c r="E193" t="s">
        <v>13</v>
      </c>
      <c r="F193" t="s">
        <v>23</v>
      </c>
      <c r="G193">
        <v>97</v>
      </c>
      <c r="H193">
        <v>274</v>
      </c>
      <c r="I193">
        <v>179</v>
      </c>
      <c r="J193">
        <v>13971</v>
      </c>
      <c r="K193">
        <v>7.4</v>
      </c>
      <c r="L193">
        <v>87</v>
      </c>
      <c r="M193" t="str" cm="1">
        <f t="array" ref="M193">_xlfn.IFS(D197&lt;=30,"Young",D197&lt;55,"Middle age",D197&gt;54,"Senior")</f>
        <v>Senior</v>
      </c>
    </row>
    <row r="194" spans="1:13" x14ac:dyDescent="0.25">
      <c r="A194">
        <v>193</v>
      </c>
      <c r="B194" s="1">
        <v>45841.681875000002</v>
      </c>
      <c r="C194" t="s">
        <v>57</v>
      </c>
      <c r="D194">
        <v>64</v>
      </c>
      <c r="E194" t="s">
        <v>22</v>
      </c>
      <c r="F194" t="s">
        <v>17</v>
      </c>
      <c r="G194">
        <v>61</v>
      </c>
      <c r="H194">
        <v>377</v>
      </c>
      <c r="I194">
        <v>149</v>
      </c>
      <c r="J194">
        <v>13152</v>
      </c>
      <c r="K194">
        <v>6.9</v>
      </c>
      <c r="L194">
        <v>83.4</v>
      </c>
      <c r="M194" t="str" cm="1">
        <f t="array" ref="M194">_xlfn.IFS(D198&lt;=30,"Young",D198&lt;55,"Middle age",D198&gt;54,"Senior")</f>
        <v>Young</v>
      </c>
    </row>
    <row r="195" spans="1:13" x14ac:dyDescent="0.25">
      <c r="A195">
        <v>194</v>
      </c>
      <c r="B195" s="1">
        <v>45793.115902777776</v>
      </c>
      <c r="C195" t="s">
        <v>37</v>
      </c>
      <c r="D195">
        <v>30</v>
      </c>
      <c r="E195" t="s">
        <v>16</v>
      </c>
      <c r="F195" t="s">
        <v>27</v>
      </c>
      <c r="G195">
        <v>112</v>
      </c>
      <c r="H195">
        <v>208</v>
      </c>
      <c r="I195">
        <v>148</v>
      </c>
      <c r="J195">
        <v>17539</v>
      </c>
      <c r="K195">
        <v>5.0999999999999996</v>
      </c>
      <c r="L195">
        <v>44.3</v>
      </c>
      <c r="M195" t="str" cm="1">
        <f t="array" ref="M195">_xlfn.IFS(D199&lt;=30,"Young",D199&lt;55,"Middle age",D199&gt;54,"Senior")</f>
        <v>Middle age</v>
      </c>
    </row>
    <row r="196" spans="1:13" x14ac:dyDescent="0.25">
      <c r="A196">
        <v>195</v>
      </c>
      <c r="B196" s="1">
        <v>45883.824236111112</v>
      </c>
      <c r="C196" t="s">
        <v>61</v>
      </c>
      <c r="D196">
        <v>66</v>
      </c>
      <c r="E196" t="s">
        <v>16</v>
      </c>
      <c r="F196" t="s">
        <v>20</v>
      </c>
      <c r="G196">
        <v>116</v>
      </c>
      <c r="H196">
        <v>192</v>
      </c>
      <c r="I196">
        <v>155</v>
      </c>
      <c r="J196">
        <v>1803</v>
      </c>
      <c r="K196">
        <v>8.8000000000000007</v>
      </c>
      <c r="L196">
        <v>71.2</v>
      </c>
      <c r="M196" t="str" cm="1">
        <f t="array" ref="M196">_xlfn.IFS(D200&lt;=30,"Young",D200&lt;55,"Middle age",D200&gt;54,"Senior")</f>
        <v>Senior</v>
      </c>
    </row>
    <row r="197" spans="1:13" x14ac:dyDescent="0.25">
      <c r="A197">
        <v>196</v>
      </c>
      <c r="B197" s="1">
        <v>45805.542291666665</v>
      </c>
      <c r="C197" t="s">
        <v>46</v>
      </c>
      <c r="D197">
        <v>62</v>
      </c>
      <c r="E197" t="s">
        <v>16</v>
      </c>
      <c r="F197" t="s">
        <v>23</v>
      </c>
      <c r="G197">
        <v>84</v>
      </c>
      <c r="H197">
        <v>435</v>
      </c>
      <c r="I197">
        <v>130</v>
      </c>
      <c r="J197">
        <v>18532</v>
      </c>
      <c r="K197">
        <v>6.8</v>
      </c>
      <c r="L197">
        <v>46.2</v>
      </c>
      <c r="M197" t="str" cm="1">
        <f t="array" ref="M197">_xlfn.IFS(D201&lt;=30,"Young",D201&lt;55,"Middle age",D201&gt;54,"Senior")</f>
        <v>Middle age</v>
      </c>
    </row>
    <row r="198" spans="1:13" x14ac:dyDescent="0.25">
      <c r="A198">
        <v>197</v>
      </c>
      <c r="B198" s="1">
        <v>45940.938819444447</v>
      </c>
      <c r="C198" t="s">
        <v>52</v>
      </c>
      <c r="D198">
        <v>17</v>
      </c>
      <c r="E198" t="s">
        <v>13</v>
      </c>
      <c r="F198" t="s">
        <v>23</v>
      </c>
      <c r="G198">
        <v>65</v>
      </c>
      <c r="H198">
        <v>408</v>
      </c>
      <c r="I198">
        <v>73</v>
      </c>
      <c r="J198">
        <v>8355</v>
      </c>
      <c r="K198">
        <v>4.2</v>
      </c>
      <c r="L198">
        <v>89.4</v>
      </c>
      <c r="M198" t="str" cm="1">
        <f t="array" ref="M198">_xlfn.IFS(D202&lt;=30,"Young",D202&lt;55,"Middle age",D202&gt;54,"Senior")</f>
        <v>Young</v>
      </c>
    </row>
    <row r="199" spans="1:13" x14ac:dyDescent="0.25">
      <c r="A199">
        <v>198</v>
      </c>
      <c r="B199" s="1">
        <v>45820.204097222224</v>
      </c>
      <c r="C199" t="s">
        <v>61</v>
      </c>
      <c r="D199">
        <v>41</v>
      </c>
      <c r="E199" t="s">
        <v>22</v>
      </c>
      <c r="F199" t="s">
        <v>17</v>
      </c>
      <c r="G199">
        <v>99</v>
      </c>
      <c r="H199">
        <v>585</v>
      </c>
      <c r="I199">
        <v>89</v>
      </c>
      <c r="J199">
        <v>22822</v>
      </c>
      <c r="K199">
        <v>8</v>
      </c>
      <c r="L199">
        <v>59.3</v>
      </c>
      <c r="M199" t="str" cm="1">
        <f t="array" ref="M199">_xlfn.IFS(D203&lt;=30,"Young",D203&lt;55,"Middle age",D203&gt;54,"Senior")</f>
        <v>Young</v>
      </c>
    </row>
    <row r="200" spans="1:13" x14ac:dyDescent="0.25">
      <c r="A200">
        <v>199</v>
      </c>
      <c r="B200" s="1">
        <v>45941.901319444441</v>
      </c>
      <c r="C200" t="s">
        <v>69</v>
      </c>
      <c r="D200">
        <v>66</v>
      </c>
      <c r="E200" t="s">
        <v>22</v>
      </c>
      <c r="F200" t="s">
        <v>23</v>
      </c>
      <c r="G200">
        <v>74</v>
      </c>
      <c r="H200">
        <v>230</v>
      </c>
      <c r="I200">
        <v>72</v>
      </c>
      <c r="J200">
        <v>16001</v>
      </c>
      <c r="K200">
        <v>4.3</v>
      </c>
      <c r="L200">
        <v>98.6</v>
      </c>
      <c r="M200" t="str" cm="1">
        <f t="array" ref="M200">_xlfn.IFS(D204&lt;=30,"Young",D204&lt;55,"Middle age",D204&gt;54,"Senior")</f>
        <v>Young</v>
      </c>
    </row>
    <row r="201" spans="1:13" x14ac:dyDescent="0.25">
      <c r="A201">
        <v>200</v>
      </c>
      <c r="B201" s="1">
        <v>45849.199930555558</v>
      </c>
      <c r="C201" t="s">
        <v>70</v>
      </c>
      <c r="D201">
        <v>44</v>
      </c>
      <c r="E201" t="s">
        <v>22</v>
      </c>
      <c r="F201" t="s">
        <v>41</v>
      </c>
      <c r="G201">
        <v>68</v>
      </c>
      <c r="H201">
        <v>241</v>
      </c>
      <c r="I201">
        <v>80</v>
      </c>
      <c r="J201">
        <v>7358</v>
      </c>
      <c r="K201">
        <v>7.4</v>
      </c>
      <c r="L201">
        <v>72.099999999999994</v>
      </c>
      <c r="M201" t="str" cm="1">
        <f t="array" ref="M201">_xlfn.IFS(D205&lt;=30,"Young",D205&lt;55,"Middle age",D205&gt;54,"Senior")</f>
        <v>Young</v>
      </c>
    </row>
  </sheetData>
  <autoFilter ref="A1:L2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48"/>
  <sheetViews>
    <sheetView workbookViewId="0">
      <selection activeCell="H1" sqref="H1"/>
    </sheetView>
  </sheetViews>
  <sheetFormatPr defaultRowHeight="15" x14ac:dyDescent="0.25"/>
  <cols>
    <col min="1" max="1" width="13.140625" bestFit="1" customWidth="1"/>
    <col min="2" max="2" width="16.28515625" bestFit="1" customWidth="1"/>
    <col min="3" max="3" width="22.28515625" bestFit="1" customWidth="1"/>
  </cols>
  <sheetData>
    <row r="3" spans="1:2" x14ac:dyDescent="0.25">
      <c r="A3" s="5" t="s">
        <v>72</v>
      </c>
      <c r="B3" t="s">
        <v>75</v>
      </c>
    </row>
    <row r="4" spans="1:2" x14ac:dyDescent="0.25">
      <c r="A4" s="6" t="s">
        <v>14</v>
      </c>
      <c r="B4" s="4">
        <v>23</v>
      </c>
    </row>
    <row r="5" spans="1:2" x14ac:dyDescent="0.25">
      <c r="A5" s="6" t="s">
        <v>25</v>
      </c>
      <c r="B5" s="4">
        <v>27</v>
      </c>
    </row>
    <row r="6" spans="1:2" x14ac:dyDescent="0.25">
      <c r="A6" s="6" t="s">
        <v>41</v>
      </c>
      <c r="B6" s="4">
        <v>24</v>
      </c>
    </row>
    <row r="7" spans="1:2" x14ac:dyDescent="0.25">
      <c r="A7" s="6" t="s">
        <v>17</v>
      </c>
      <c r="B7" s="4">
        <v>27</v>
      </c>
    </row>
    <row r="8" spans="1:2" x14ac:dyDescent="0.25">
      <c r="A8" s="6" t="s">
        <v>20</v>
      </c>
      <c r="B8" s="4">
        <v>27</v>
      </c>
    </row>
    <row r="9" spans="1:2" x14ac:dyDescent="0.25">
      <c r="A9" s="6" t="s">
        <v>27</v>
      </c>
      <c r="B9" s="4">
        <v>30</v>
      </c>
    </row>
    <row r="10" spans="1:2" x14ac:dyDescent="0.25">
      <c r="A10" s="6" t="s">
        <v>23</v>
      </c>
      <c r="B10" s="4">
        <v>42</v>
      </c>
    </row>
    <row r="11" spans="1:2" x14ac:dyDescent="0.25">
      <c r="A11" s="6" t="s">
        <v>73</v>
      </c>
      <c r="B11" s="4">
        <v>200</v>
      </c>
    </row>
    <row r="13" spans="1:2" s="9" customFormat="1" x14ac:dyDescent="0.25">
      <c r="A13" s="8" t="s">
        <v>72</v>
      </c>
      <c r="B13" s="9" t="s">
        <v>76</v>
      </c>
    </row>
    <row r="14" spans="1:2" s="9" customFormat="1" x14ac:dyDescent="0.25">
      <c r="A14" s="6" t="s">
        <v>14</v>
      </c>
      <c r="B14" s="10">
        <v>250.47826086956522</v>
      </c>
    </row>
    <row r="15" spans="1:2" s="9" customFormat="1" x14ac:dyDescent="0.25">
      <c r="A15" s="6" t="s">
        <v>25</v>
      </c>
      <c r="B15" s="10">
        <v>320.62962962962962</v>
      </c>
    </row>
    <row r="16" spans="1:2" s="9" customFormat="1" x14ac:dyDescent="0.25">
      <c r="A16" s="6" t="s">
        <v>41</v>
      </c>
      <c r="B16" s="10">
        <v>302.83333333333331</v>
      </c>
    </row>
    <row r="17" spans="1:2" s="9" customFormat="1" x14ac:dyDescent="0.25">
      <c r="A17" s="6" t="s">
        <v>17</v>
      </c>
      <c r="B17" s="10">
        <v>267.44444444444446</v>
      </c>
    </row>
    <row r="18" spans="1:2" s="9" customFormat="1" x14ac:dyDescent="0.25">
      <c r="A18" s="6" t="s">
        <v>20</v>
      </c>
      <c r="B18" s="10">
        <v>286.92592592592592</v>
      </c>
    </row>
    <row r="19" spans="1:2" s="9" customFormat="1" x14ac:dyDescent="0.25">
      <c r="A19" s="6" t="s">
        <v>27</v>
      </c>
      <c r="B19" s="10">
        <v>304.03333333333336</v>
      </c>
    </row>
    <row r="20" spans="1:2" s="9" customFormat="1" x14ac:dyDescent="0.25">
      <c r="A20" s="6" t="s">
        <v>23</v>
      </c>
      <c r="B20" s="10">
        <v>318.52380952380952</v>
      </c>
    </row>
    <row r="21" spans="1:2" s="9" customFormat="1" x14ac:dyDescent="0.25">
      <c r="A21" s="6" t="s">
        <v>73</v>
      </c>
      <c r="B21" s="10">
        <v>295.76499999999999</v>
      </c>
    </row>
    <row r="23" spans="1:2" x14ac:dyDescent="0.25">
      <c r="A23" s="5" t="s">
        <v>72</v>
      </c>
      <c r="B23" t="s">
        <v>74</v>
      </c>
    </row>
    <row r="24" spans="1:2" x14ac:dyDescent="0.25">
      <c r="A24" s="6" t="s">
        <v>77</v>
      </c>
      <c r="B24" s="4">
        <v>135550</v>
      </c>
    </row>
    <row r="25" spans="1:2" x14ac:dyDescent="0.25">
      <c r="A25" s="6" t="s">
        <v>78</v>
      </c>
      <c r="B25" s="4">
        <v>420983</v>
      </c>
    </row>
    <row r="26" spans="1:2" x14ac:dyDescent="0.25">
      <c r="A26" s="6" t="s">
        <v>79</v>
      </c>
      <c r="B26" s="4">
        <v>494791</v>
      </c>
    </row>
    <row r="27" spans="1:2" x14ac:dyDescent="0.25">
      <c r="A27" s="6" t="s">
        <v>80</v>
      </c>
      <c r="B27" s="4">
        <v>415052</v>
      </c>
    </row>
    <row r="28" spans="1:2" x14ac:dyDescent="0.25">
      <c r="A28" s="6" t="s">
        <v>81</v>
      </c>
      <c r="B28" s="4">
        <v>624658</v>
      </c>
    </row>
    <row r="29" spans="1:2" x14ac:dyDescent="0.25">
      <c r="A29" s="6" t="s">
        <v>82</v>
      </c>
      <c r="B29" s="4">
        <v>389465</v>
      </c>
    </row>
    <row r="30" spans="1:2" x14ac:dyDescent="0.25">
      <c r="A30" s="6" t="s">
        <v>83</v>
      </c>
      <c r="B30" s="4">
        <v>323665</v>
      </c>
    </row>
    <row r="31" spans="1:2" x14ac:dyDescent="0.25">
      <c r="A31" s="6" t="s">
        <v>73</v>
      </c>
      <c r="B31" s="4">
        <v>2804164</v>
      </c>
    </row>
    <row r="34" spans="2:3" x14ac:dyDescent="0.25">
      <c r="B34" s="5" t="s">
        <v>72</v>
      </c>
      <c r="C34" t="s">
        <v>87</v>
      </c>
    </row>
    <row r="35" spans="2:3" x14ac:dyDescent="0.25">
      <c r="B35" s="6" t="s">
        <v>84</v>
      </c>
      <c r="C35" s="7">
        <v>122.57575757575758</v>
      </c>
    </row>
    <row r="36" spans="2:3" x14ac:dyDescent="0.25">
      <c r="B36" s="6" t="s">
        <v>85</v>
      </c>
      <c r="C36" s="7">
        <v>121.66101694915254</v>
      </c>
    </row>
    <row r="37" spans="2:3" x14ac:dyDescent="0.25">
      <c r="B37" s="6" t="s">
        <v>86</v>
      </c>
      <c r="C37" s="7">
        <v>116.04761904761905</v>
      </c>
    </row>
    <row r="38" spans="2:3" x14ac:dyDescent="0.25">
      <c r="B38" s="6" t="s">
        <v>73</v>
      </c>
      <c r="C38" s="7">
        <v>120.935</v>
      </c>
    </row>
    <row r="40" spans="2:3" x14ac:dyDescent="0.25">
      <c r="B40" s="5" t="s">
        <v>72</v>
      </c>
      <c r="C40" t="s">
        <v>88</v>
      </c>
    </row>
    <row r="41" spans="2:3" x14ac:dyDescent="0.25">
      <c r="B41" s="6" t="s">
        <v>14</v>
      </c>
      <c r="C41" s="7">
        <v>6.1652173913043473</v>
      </c>
    </row>
    <row r="42" spans="2:3" x14ac:dyDescent="0.25">
      <c r="B42" s="6" t="s">
        <v>25</v>
      </c>
      <c r="C42" s="7">
        <v>6.4370370370370393</v>
      </c>
    </row>
    <row r="43" spans="2:3" x14ac:dyDescent="0.25">
      <c r="B43" s="6" t="s">
        <v>41</v>
      </c>
      <c r="C43" s="7">
        <v>6.3500000000000005</v>
      </c>
    </row>
    <row r="44" spans="2:3" x14ac:dyDescent="0.25">
      <c r="B44" s="6" t="s">
        <v>17</v>
      </c>
      <c r="C44" s="7">
        <v>6.2777777777777786</v>
      </c>
    </row>
    <row r="45" spans="2:3" x14ac:dyDescent="0.25">
      <c r="B45" s="6" t="s">
        <v>20</v>
      </c>
      <c r="C45" s="7">
        <v>6.1888888888888873</v>
      </c>
    </row>
    <row r="46" spans="2:3" x14ac:dyDescent="0.25">
      <c r="B46" s="6" t="s">
        <v>27</v>
      </c>
      <c r="C46" s="7">
        <v>7.0500000000000007</v>
      </c>
    </row>
    <row r="47" spans="2:3" x14ac:dyDescent="0.25">
      <c r="B47" s="6" t="s">
        <v>23</v>
      </c>
      <c r="C47" s="7">
        <v>5.869047619047616</v>
      </c>
    </row>
    <row r="48" spans="2:3" x14ac:dyDescent="0.25">
      <c r="B48" s="6" t="s">
        <v>73</v>
      </c>
      <c r="C48" s="7">
        <v>6.3129999999999988</v>
      </c>
    </row>
  </sheetData>
  <pageMargins left="0.7" right="0.7" top="0.75" bottom="0.75" header="0.3" footer="0.3"/>
  <pageSetup paperSize="9" orientation="portrait" verticalDpi="0"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
  <sheetViews>
    <sheetView showGridLines="0" tabSelected="1" topLeftCell="A2" workbookViewId="0">
      <selection activeCell="I29" sqref="I29"/>
    </sheetView>
  </sheetViews>
  <sheetFormatPr defaultRowHeight="15" x14ac:dyDescent="0.25"/>
  <cols>
    <col min="3" max="3" width="4.5703125" customWidth="1"/>
    <col min="4" max="4" width="5.85546875" customWidth="1"/>
    <col min="5" max="5" width="19.140625" customWidth="1"/>
    <col min="6" max="6" width="23.140625" customWidth="1"/>
    <col min="12" max="12" width="67.140625" customWidth="1"/>
  </cols>
  <sheetData>
    <row r="1" spans="1:12" ht="6" hidden="1" customHeight="1" x14ac:dyDescent="0.25">
      <c r="A1" s="11"/>
      <c r="B1" s="11"/>
      <c r="C1" s="11"/>
      <c r="D1" s="11"/>
      <c r="E1" s="11"/>
      <c r="F1" s="11"/>
      <c r="G1" s="11"/>
      <c r="H1" s="11"/>
      <c r="I1" s="11"/>
      <c r="J1" s="11"/>
      <c r="K1" s="11"/>
      <c r="L1" s="11"/>
    </row>
    <row r="2" spans="1:12" ht="7.5" customHeight="1" x14ac:dyDescent="0.25">
      <c r="A2" s="11"/>
      <c r="B2" s="11"/>
      <c r="C2" s="11"/>
      <c r="D2" s="11"/>
      <c r="E2" s="11"/>
      <c r="F2" s="11"/>
      <c r="G2" s="11"/>
      <c r="H2" s="11"/>
      <c r="I2" s="11"/>
      <c r="J2" s="11"/>
      <c r="K2" s="11"/>
      <c r="L2" s="11"/>
    </row>
    <row r="3" spans="1:12" ht="55.5" customHeight="1" x14ac:dyDescent="0.25">
      <c r="A3" s="11"/>
      <c r="B3" s="11"/>
      <c r="C3" s="11"/>
      <c r="D3" s="11"/>
      <c r="E3" s="11"/>
      <c r="F3" s="12"/>
      <c r="G3" s="14" t="s">
        <v>89</v>
      </c>
      <c r="H3" s="14"/>
      <c r="I3" s="14"/>
      <c r="J3" s="15"/>
      <c r="K3" s="13"/>
      <c r="L3"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0F6C6B-21A0-4CB1-B0B0-3A6E95577F66}">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random_fitness_dataset</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harith olasubomi</cp:lastModifiedBy>
  <dcterms:created xsi:type="dcterms:W3CDTF">2025-11-04T07:57:54Z</dcterms:created>
  <dcterms:modified xsi:type="dcterms:W3CDTF">2025-11-17T12:02:01Z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{A70F6C6B-21A0-4CB1-B0B0-3A6E95577F66}</vt:lpwstr>
  </property>
</Properties>
</file>